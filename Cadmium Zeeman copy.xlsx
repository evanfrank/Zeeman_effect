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315"/>
  <workbookPr/>
  <mc:AlternateContent xmlns:mc="http://schemas.openxmlformats.org/markup-compatibility/2006">
    <mc:Choice Requires="x15">
      <x15ac:absPath xmlns:x15ac="http://schemas.microsoft.com/office/spreadsheetml/2010/11/ac" url="/Users/evanfrank/Desktop/Davidson Spring 2021/Ad Lab/zeeman/"/>
    </mc:Choice>
  </mc:AlternateContent>
  <bookViews>
    <workbookView xWindow="0" yWindow="500" windowWidth="33600" windowHeight="18880" activeTab="5"/>
  </bookViews>
  <sheets>
    <sheet name="Magnetic Field" sheetId="1" r:id="rId1"/>
    <sheet name="Longitudinal +45" sheetId="2" r:id="rId2"/>
    <sheet name="Longitudinal -45" sheetId="3" r:id="rId3"/>
    <sheet name="Transverse 90" sheetId="4" r:id="rId4"/>
    <sheet name="Transverse 0" sheetId="5" r:id="rId5"/>
    <sheet name="Bhor Magnaton" sheetId="6" r:id="rId6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4" i="6" l="1"/>
  <c r="G35" i="6"/>
  <c r="G36" i="6"/>
  <c r="G33" i="6"/>
  <c r="D41" i="6"/>
  <c r="C41" i="6"/>
  <c r="C42" i="6"/>
  <c r="C46" i="6"/>
  <c r="D46" i="6"/>
  <c r="C47" i="6"/>
  <c r="D47" i="6"/>
  <c r="C48" i="6"/>
  <c r="D48" i="6"/>
  <c r="D42" i="6"/>
  <c r="F34" i="6"/>
  <c r="F35" i="6"/>
  <c r="F36" i="6"/>
  <c r="F33" i="6"/>
  <c r="E58" i="2"/>
  <c r="F8" i="4"/>
  <c r="F7" i="4"/>
  <c r="E8" i="4"/>
  <c r="D8" i="4"/>
  <c r="F15" i="4"/>
  <c r="F16" i="4"/>
  <c r="B159" i="2"/>
  <c r="E85" i="2"/>
  <c r="G85" i="2"/>
  <c r="D6" i="2"/>
  <c r="B104" i="3"/>
  <c r="B12" i="5"/>
  <c r="C19" i="6"/>
  <c r="C18" i="6"/>
  <c r="C17" i="6"/>
  <c r="C40" i="6"/>
  <c r="H61" i="5"/>
  <c r="J61" i="5"/>
  <c r="L61" i="5"/>
  <c r="H62" i="5"/>
  <c r="J62" i="5"/>
  <c r="L62" i="5"/>
  <c r="H63" i="5"/>
  <c r="J63" i="5"/>
  <c r="L63" i="5"/>
  <c r="H64" i="5"/>
  <c r="J64" i="5"/>
  <c r="L64" i="5"/>
  <c r="H65" i="5"/>
  <c r="J65" i="5"/>
  <c r="L65" i="5"/>
  <c r="H66" i="5"/>
  <c r="J66" i="5"/>
  <c r="L66" i="5"/>
  <c r="H67" i="5"/>
  <c r="J67" i="5"/>
  <c r="L67" i="5"/>
  <c r="H68" i="5"/>
  <c r="J68" i="5"/>
  <c r="L68" i="5"/>
  <c r="H69" i="5"/>
  <c r="J69" i="5"/>
  <c r="L69" i="5"/>
  <c r="H60" i="5"/>
  <c r="J60" i="5"/>
  <c r="L60" i="5"/>
  <c r="I60" i="5"/>
  <c r="K60" i="5"/>
  <c r="M60" i="5"/>
  <c r="P60" i="5"/>
  <c r="O60" i="5"/>
  <c r="I61" i="5"/>
  <c r="K61" i="5"/>
  <c r="M61" i="5"/>
  <c r="I62" i="5"/>
  <c r="K62" i="5"/>
  <c r="M62" i="5"/>
  <c r="I63" i="5"/>
  <c r="K63" i="5"/>
  <c r="M63" i="5"/>
  <c r="I64" i="5"/>
  <c r="K64" i="5"/>
  <c r="M64" i="5"/>
  <c r="I65" i="5"/>
  <c r="K65" i="5"/>
  <c r="M65" i="5"/>
  <c r="I66" i="5"/>
  <c r="K66" i="5"/>
  <c r="M66" i="5"/>
  <c r="I67" i="5"/>
  <c r="K67" i="5"/>
  <c r="M67" i="5"/>
  <c r="I68" i="5"/>
  <c r="K68" i="5"/>
  <c r="M68" i="5"/>
  <c r="I69" i="5"/>
  <c r="K69" i="5"/>
  <c r="M69" i="5"/>
  <c r="H45" i="5"/>
  <c r="J45" i="5"/>
  <c r="L45" i="5"/>
  <c r="H46" i="5"/>
  <c r="J46" i="5"/>
  <c r="L46" i="5"/>
  <c r="H47" i="5"/>
  <c r="J47" i="5"/>
  <c r="L47" i="5"/>
  <c r="H48" i="5"/>
  <c r="J48" i="5"/>
  <c r="L48" i="5"/>
  <c r="H49" i="5"/>
  <c r="J49" i="5"/>
  <c r="L49" i="5"/>
  <c r="H50" i="5"/>
  <c r="J50" i="5"/>
  <c r="L50" i="5"/>
  <c r="H51" i="5"/>
  <c r="J51" i="5"/>
  <c r="L51" i="5"/>
  <c r="H52" i="5"/>
  <c r="J52" i="5"/>
  <c r="L52" i="5"/>
  <c r="H53" i="5"/>
  <c r="J53" i="5"/>
  <c r="L53" i="5"/>
  <c r="H54" i="5"/>
  <c r="J54" i="5"/>
  <c r="L54" i="5"/>
  <c r="I46" i="5"/>
  <c r="K46" i="5"/>
  <c r="M46" i="5"/>
  <c r="I47" i="5"/>
  <c r="K47" i="5"/>
  <c r="M47" i="5"/>
  <c r="I48" i="5"/>
  <c r="K48" i="5"/>
  <c r="M48" i="5"/>
  <c r="I49" i="5"/>
  <c r="K49" i="5"/>
  <c r="M49" i="5"/>
  <c r="I50" i="5"/>
  <c r="K50" i="5"/>
  <c r="M50" i="5"/>
  <c r="I51" i="5"/>
  <c r="K51" i="5"/>
  <c r="M51" i="5"/>
  <c r="I52" i="5"/>
  <c r="K52" i="5"/>
  <c r="M52" i="5"/>
  <c r="I53" i="5"/>
  <c r="K53" i="5"/>
  <c r="M53" i="5"/>
  <c r="I54" i="5"/>
  <c r="K54" i="5"/>
  <c r="M54" i="5"/>
  <c r="I45" i="5"/>
  <c r="K45" i="5"/>
  <c r="M45" i="5"/>
  <c r="H30" i="5"/>
  <c r="J30" i="5"/>
  <c r="L30" i="5"/>
  <c r="H31" i="5"/>
  <c r="J31" i="5"/>
  <c r="L31" i="5"/>
  <c r="H32" i="5"/>
  <c r="J32" i="5"/>
  <c r="L32" i="5"/>
  <c r="H33" i="5"/>
  <c r="J33" i="5"/>
  <c r="L33" i="5"/>
  <c r="B34" i="5"/>
  <c r="H34" i="5"/>
  <c r="J34" i="5"/>
  <c r="L34" i="5"/>
  <c r="H35" i="5"/>
  <c r="J35" i="5"/>
  <c r="L35" i="5"/>
  <c r="H36" i="5"/>
  <c r="J36" i="5"/>
  <c r="L36" i="5"/>
  <c r="H37" i="5"/>
  <c r="J37" i="5"/>
  <c r="L37" i="5"/>
  <c r="H38" i="5"/>
  <c r="J38" i="5"/>
  <c r="L38" i="5"/>
  <c r="H39" i="5"/>
  <c r="J39" i="5"/>
  <c r="L39" i="5"/>
  <c r="I31" i="5"/>
  <c r="K31" i="5"/>
  <c r="M31" i="5"/>
  <c r="I32" i="5"/>
  <c r="K32" i="5"/>
  <c r="M32" i="5"/>
  <c r="I33" i="5"/>
  <c r="K33" i="5"/>
  <c r="M33" i="5"/>
  <c r="I34" i="5"/>
  <c r="K34" i="5"/>
  <c r="M34" i="5"/>
  <c r="I35" i="5"/>
  <c r="K35" i="5"/>
  <c r="M35" i="5"/>
  <c r="I36" i="5"/>
  <c r="K36" i="5"/>
  <c r="M36" i="5"/>
  <c r="I37" i="5"/>
  <c r="K37" i="5"/>
  <c r="M37" i="5"/>
  <c r="I38" i="5"/>
  <c r="K38" i="5"/>
  <c r="M38" i="5"/>
  <c r="I39" i="5"/>
  <c r="K39" i="5"/>
  <c r="M39" i="5"/>
  <c r="I30" i="5"/>
  <c r="K30" i="5"/>
  <c r="M30" i="5"/>
  <c r="D7" i="4"/>
  <c r="E7" i="4"/>
  <c r="D9" i="4"/>
  <c r="E9" i="4"/>
  <c r="F9" i="4"/>
  <c r="D10" i="4"/>
  <c r="E10" i="4"/>
  <c r="F10" i="4"/>
  <c r="D11" i="4"/>
  <c r="E11" i="4"/>
  <c r="F11" i="4"/>
  <c r="B12" i="4"/>
  <c r="D12" i="4"/>
  <c r="E12" i="4"/>
  <c r="F12" i="4"/>
  <c r="D13" i="4"/>
  <c r="E13" i="4"/>
  <c r="F13" i="4"/>
  <c r="D14" i="4"/>
  <c r="E14" i="4"/>
  <c r="F14" i="4"/>
  <c r="D15" i="4"/>
  <c r="E15" i="4"/>
  <c r="D16" i="4"/>
  <c r="E16" i="4"/>
  <c r="I15" i="5"/>
  <c r="K15" i="5"/>
  <c r="M15" i="5"/>
  <c r="I16" i="5"/>
  <c r="K16" i="5"/>
  <c r="M16" i="5"/>
  <c r="I17" i="5"/>
  <c r="K17" i="5"/>
  <c r="M17" i="5"/>
  <c r="I18" i="5"/>
  <c r="K18" i="5"/>
  <c r="M18" i="5"/>
  <c r="I19" i="5"/>
  <c r="K19" i="5"/>
  <c r="M19" i="5"/>
  <c r="I20" i="5"/>
  <c r="K20" i="5"/>
  <c r="M20" i="5"/>
  <c r="I21" i="5"/>
  <c r="K21" i="5"/>
  <c r="M21" i="5"/>
  <c r="I22" i="5"/>
  <c r="K22" i="5"/>
  <c r="M22" i="5"/>
  <c r="I23" i="5"/>
  <c r="K23" i="5"/>
  <c r="M23" i="5"/>
  <c r="I24" i="5"/>
  <c r="K24" i="5"/>
  <c r="M24" i="5"/>
  <c r="H16" i="5"/>
  <c r="J16" i="5"/>
  <c r="L16" i="5"/>
  <c r="H17" i="5"/>
  <c r="J17" i="5"/>
  <c r="L17" i="5"/>
  <c r="H18" i="5"/>
  <c r="J18" i="5"/>
  <c r="L18" i="5"/>
  <c r="H19" i="5"/>
  <c r="J19" i="5"/>
  <c r="L19" i="5"/>
  <c r="H20" i="5"/>
  <c r="J20" i="5"/>
  <c r="L20" i="5"/>
  <c r="H21" i="5"/>
  <c r="J21" i="5"/>
  <c r="L21" i="5"/>
  <c r="B22" i="5"/>
  <c r="H22" i="5"/>
  <c r="J22" i="5"/>
  <c r="L22" i="5"/>
  <c r="H23" i="5"/>
  <c r="J23" i="5"/>
  <c r="L23" i="5"/>
  <c r="H24" i="5"/>
  <c r="J24" i="5"/>
  <c r="L24" i="5"/>
  <c r="H15" i="5"/>
  <c r="J15" i="5"/>
  <c r="L15" i="5"/>
  <c r="B5" i="5"/>
  <c r="B3" i="5"/>
  <c r="B4" i="5"/>
  <c r="O30" i="5"/>
  <c r="P61" i="5"/>
  <c r="B57" i="5"/>
  <c r="R61" i="5"/>
  <c r="P62" i="5"/>
  <c r="R62" i="5"/>
  <c r="P63" i="5"/>
  <c r="R63" i="5"/>
  <c r="P64" i="5"/>
  <c r="R64" i="5"/>
  <c r="P65" i="5"/>
  <c r="R65" i="5"/>
  <c r="P66" i="5"/>
  <c r="R66" i="5"/>
  <c r="P67" i="5"/>
  <c r="R67" i="5"/>
  <c r="P68" i="5"/>
  <c r="R68" i="5"/>
  <c r="P69" i="5"/>
  <c r="R69" i="5"/>
  <c r="R60" i="5"/>
  <c r="O61" i="5"/>
  <c r="Q61" i="5"/>
  <c r="O62" i="5"/>
  <c r="Q62" i="5"/>
  <c r="O63" i="5"/>
  <c r="Q63" i="5"/>
  <c r="O64" i="5"/>
  <c r="Q64" i="5"/>
  <c r="O65" i="5"/>
  <c r="Q65" i="5"/>
  <c r="O66" i="5"/>
  <c r="Q66" i="5"/>
  <c r="O67" i="5"/>
  <c r="Q67" i="5"/>
  <c r="O68" i="5"/>
  <c r="Q68" i="5"/>
  <c r="O69" i="5"/>
  <c r="Q69" i="5"/>
  <c r="Q60" i="5"/>
  <c r="P46" i="5"/>
  <c r="B42" i="5"/>
  <c r="R46" i="5"/>
  <c r="P47" i="5"/>
  <c r="R47" i="5"/>
  <c r="P48" i="5"/>
  <c r="R48" i="5"/>
  <c r="P49" i="5"/>
  <c r="R49" i="5"/>
  <c r="P50" i="5"/>
  <c r="R50" i="5"/>
  <c r="P51" i="5"/>
  <c r="R51" i="5"/>
  <c r="P52" i="5"/>
  <c r="R52" i="5"/>
  <c r="P53" i="5"/>
  <c r="R53" i="5"/>
  <c r="P54" i="5"/>
  <c r="R54" i="5"/>
  <c r="P45" i="5"/>
  <c r="R45" i="5"/>
  <c r="O46" i="5"/>
  <c r="Q46" i="5"/>
  <c r="O47" i="5"/>
  <c r="Q47" i="5"/>
  <c r="O48" i="5"/>
  <c r="Q48" i="5"/>
  <c r="O49" i="5"/>
  <c r="Q49" i="5"/>
  <c r="O50" i="5"/>
  <c r="Q50" i="5"/>
  <c r="O51" i="5"/>
  <c r="Q51" i="5"/>
  <c r="O52" i="5"/>
  <c r="Q52" i="5"/>
  <c r="O53" i="5"/>
  <c r="Q53" i="5"/>
  <c r="O54" i="5"/>
  <c r="Q54" i="5"/>
  <c r="O45" i="5"/>
  <c r="Q45" i="5"/>
  <c r="P31" i="5"/>
  <c r="B27" i="5"/>
  <c r="R31" i="5"/>
  <c r="P32" i="5"/>
  <c r="R32" i="5"/>
  <c r="P33" i="5"/>
  <c r="R33" i="5"/>
  <c r="P34" i="5"/>
  <c r="R34" i="5"/>
  <c r="P35" i="5"/>
  <c r="R35" i="5"/>
  <c r="P36" i="5"/>
  <c r="R36" i="5"/>
  <c r="P37" i="5"/>
  <c r="R37" i="5"/>
  <c r="P38" i="5"/>
  <c r="R38" i="5"/>
  <c r="P39" i="5"/>
  <c r="R39" i="5"/>
  <c r="P30" i="5"/>
  <c r="R30" i="5"/>
  <c r="O31" i="5"/>
  <c r="Q31" i="5"/>
  <c r="O32" i="5"/>
  <c r="Q32" i="5"/>
  <c r="O33" i="5"/>
  <c r="Q33" i="5"/>
  <c r="O34" i="5"/>
  <c r="Q34" i="5"/>
  <c r="O35" i="5"/>
  <c r="Q35" i="5"/>
  <c r="O36" i="5"/>
  <c r="Q36" i="5"/>
  <c r="O37" i="5"/>
  <c r="Q37" i="5"/>
  <c r="O38" i="5"/>
  <c r="Q38" i="5"/>
  <c r="O39" i="5"/>
  <c r="Q39" i="5"/>
  <c r="Q30" i="5"/>
  <c r="P16" i="5"/>
  <c r="R16" i="5"/>
  <c r="P17" i="5"/>
  <c r="R17" i="5"/>
  <c r="P18" i="5"/>
  <c r="R18" i="5"/>
  <c r="P19" i="5"/>
  <c r="R19" i="5"/>
  <c r="P20" i="5"/>
  <c r="R20" i="5"/>
  <c r="P21" i="5"/>
  <c r="R21" i="5"/>
  <c r="P22" i="5"/>
  <c r="R22" i="5"/>
  <c r="P23" i="5"/>
  <c r="R23" i="5"/>
  <c r="P24" i="5"/>
  <c r="R24" i="5"/>
  <c r="P15" i="5"/>
  <c r="R15" i="5"/>
  <c r="O16" i="5"/>
  <c r="Q16" i="5"/>
  <c r="O17" i="5"/>
  <c r="Q17" i="5"/>
  <c r="O18" i="5"/>
  <c r="Q18" i="5"/>
  <c r="O19" i="5"/>
  <c r="Q19" i="5"/>
  <c r="O20" i="5"/>
  <c r="Q20" i="5"/>
  <c r="O21" i="5"/>
  <c r="Q21" i="5"/>
  <c r="O22" i="5"/>
  <c r="Q22" i="5"/>
  <c r="O23" i="5"/>
  <c r="Q23" i="5"/>
  <c r="O24" i="5"/>
  <c r="Q24" i="5"/>
  <c r="O15" i="5"/>
  <c r="Q15" i="5"/>
  <c r="S15" i="5"/>
  <c r="S60" i="5"/>
  <c r="S45" i="5"/>
  <c r="T60" i="5"/>
  <c r="T45" i="5"/>
  <c r="T30" i="5"/>
  <c r="S30" i="5"/>
  <c r="B2" i="5"/>
  <c r="B58" i="5"/>
  <c r="V60" i="5"/>
  <c r="U60" i="5"/>
  <c r="B43" i="5"/>
  <c r="V45" i="5"/>
  <c r="U45" i="5"/>
  <c r="B28" i="5"/>
  <c r="V30" i="5"/>
  <c r="U30" i="5"/>
  <c r="T15" i="5"/>
  <c r="B13" i="5"/>
  <c r="V15" i="5"/>
  <c r="U15" i="5"/>
  <c r="B51" i="3"/>
  <c r="C20" i="6"/>
  <c r="D20" i="6"/>
  <c r="D19" i="6"/>
  <c r="D18" i="6"/>
  <c r="E221" i="3"/>
  <c r="E222" i="3"/>
  <c r="E223" i="3"/>
  <c r="E224" i="3"/>
  <c r="E225" i="3"/>
  <c r="E226" i="3"/>
  <c r="E227" i="3"/>
  <c r="E228" i="3"/>
  <c r="E229" i="3"/>
  <c r="E220" i="3"/>
  <c r="G220" i="3"/>
  <c r="H220" i="3"/>
  <c r="H195" i="3"/>
  <c r="H196" i="3"/>
  <c r="H197" i="3"/>
  <c r="H198" i="3"/>
  <c r="H199" i="3"/>
  <c r="H200" i="3"/>
  <c r="H201" i="3"/>
  <c r="H202" i="3"/>
  <c r="H203" i="3"/>
  <c r="H194" i="3"/>
  <c r="E195" i="3"/>
  <c r="E196" i="3"/>
  <c r="E197" i="3"/>
  <c r="E198" i="3"/>
  <c r="E199" i="3"/>
  <c r="E200" i="3"/>
  <c r="E201" i="3"/>
  <c r="E202" i="3"/>
  <c r="E203" i="3"/>
  <c r="E194" i="3"/>
  <c r="H168" i="3"/>
  <c r="H169" i="3"/>
  <c r="H170" i="3"/>
  <c r="H171" i="3"/>
  <c r="H172" i="3"/>
  <c r="H173" i="3"/>
  <c r="H174" i="3"/>
  <c r="H175" i="3"/>
  <c r="H176" i="3"/>
  <c r="H167" i="3"/>
  <c r="E168" i="3"/>
  <c r="E169" i="3"/>
  <c r="E170" i="3"/>
  <c r="E171" i="3"/>
  <c r="E172" i="3"/>
  <c r="E173" i="3"/>
  <c r="E174" i="3"/>
  <c r="E175" i="3"/>
  <c r="E176" i="3"/>
  <c r="E167" i="3"/>
  <c r="H142" i="3"/>
  <c r="H143" i="3"/>
  <c r="H144" i="3"/>
  <c r="H145" i="3"/>
  <c r="H146" i="3"/>
  <c r="H147" i="3"/>
  <c r="H148" i="3"/>
  <c r="H149" i="3"/>
  <c r="H150" i="3"/>
  <c r="H141" i="3"/>
  <c r="E142" i="3"/>
  <c r="E143" i="3"/>
  <c r="E144" i="3"/>
  <c r="E145" i="3"/>
  <c r="E146" i="3"/>
  <c r="E147" i="3"/>
  <c r="E148" i="3"/>
  <c r="E149" i="3"/>
  <c r="E150" i="3"/>
  <c r="E141" i="3"/>
  <c r="H115" i="3"/>
  <c r="H116" i="3"/>
  <c r="H117" i="3"/>
  <c r="H118" i="3"/>
  <c r="H119" i="3"/>
  <c r="H120" i="3"/>
  <c r="H121" i="3"/>
  <c r="H122" i="3"/>
  <c r="H123" i="3"/>
  <c r="H114" i="3"/>
  <c r="G114" i="3"/>
  <c r="E115" i="3"/>
  <c r="E116" i="3"/>
  <c r="E117" i="3"/>
  <c r="E118" i="3"/>
  <c r="E119" i="3"/>
  <c r="E120" i="3"/>
  <c r="E121" i="3"/>
  <c r="E122" i="3"/>
  <c r="E123" i="3"/>
  <c r="E114" i="3"/>
  <c r="H87" i="3"/>
  <c r="H88" i="3"/>
  <c r="H89" i="3"/>
  <c r="H90" i="3"/>
  <c r="H91" i="3"/>
  <c r="H92" i="3"/>
  <c r="H93" i="3"/>
  <c r="H94" i="3"/>
  <c r="H95" i="3"/>
  <c r="H86" i="3"/>
  <c r="E87" i="3"/>
  <c r="E88" i="3"/>
  <c r="E89" i="3"/>
  <c r="E90" i="3"/>
  <c r="E91" i="3"/>
  <c r="E92" i="3"/>
  <c r="E93" i="3"/>
  <c r="E94" i="3"/>
  <c r="E95" i="3"/>
  <c r="E86" i="3"/>
  <c r="C65" i="3"/>
  <c r="D65" i="3"/>
  <c r="E65" i="3"/>
  <c r="G65" i="3"/>
  <c r="H65" i="3"/>
  <c r="C59" i="3"/>
  <c r="D59" i="3"/>
  <c r="E59" i="3"/>
  <c r="G59" i="3"/>
  <c r="H59" i="3"/>
  <c r="I59" i="3"/>
  <c r="J59" i="3"/>
  <c r="H60" i="3"/>
  <c r="H61" i="3"/>
  <c r="H62" i="3"/>
  <c r="H63" i="3"/>
  <c r="H64" i="3"/>
  <c r="H66" i="3"/>
  <c r="H67" i="3"/>
  <c r="H68" i="3"/>
  <c r="E60" i="3"/>
  <c r="E61" i="3"/>
  <c r="E62" i="3"/>
  <c r="E63" i="3"/>
  <c r="E64" i="3"/>
  <c r="E66" i="3"/>
  <c r="E67" i="3"/>
  <c r="E68" i="3"/>
  <c r="E34" i="3"/>
  <c r="E35" i="3"/>
  <c r="E36" i="3"/>
  <c r="E37" i="3"/>
  <c r="E38" i="3"/>
  <c r="E39" i="3"/>
  <c r="E40" i="3"/>
  <c r="E41" i="3"/>
  <c r="E42" i="3"/>
  <c r="E33" i="3"/>
  <c r="K7" i="3"/>
  <c r="J7" i="3"/>
  <c r="I8" i="3"/>
  <c r="H8" i="3"/>
  <c r="F7" i="3"/>
  <c r="H7" i="3"/>
  <c r="G221" i="3"/>
  <c r="H221" i="3"/>
  <c r="B239" i="3"/>
  <c r="G222" i="3"/>
  <c r="H222" i="3"/>
  <c r="G223" i="3"/>
  <c r="H223" i="3"/>
  <c r="G224" i="3"/>
  <c r="H224" i="3"/>
  <c r="G225" i="3"/>
  <c r="H225" i="3"/>
  <c r="G226" i="3"/>
  <c r="H226" i="3"/>
  <c r="G227" i="3"/>
  <c r="H227" i="3"/>
  <c r="G228" i="3"/>
  <c r="H228" i="3"/>
  <c r="G229" i="3"/>
  <c r="H229" i="3"/>
  <c r="I220" i="3"/>
  <c r="B52" i="3"/>
  <c r="G33" i="3"/>
  <c r="H33" i="3"/>
  <c r="G34" i="3"/>
  <c r="H34" i="3"/>
  <c r="G35" i="3"/>
  <c r="H35" i="3"/>
  <c r="G36" i="3"/>
  <c r="H36" i="3"/>
  <c r="G37" i="3"/>
  <c r="H37" i="3"/>
  <c r="G38" i="3"/>
  <c r="H38" i="3"/>
  <c r="G39" i="3"/>
  <c r="H39" i="3"/>
  <c r="G40" i="3"/>
  <c r="H40" i="3"/>
  <c r="G41" i="3"/>
  <c r="H41" i="3"/>
  <c r="G42" i="3"/>
  <c r="H42" i="3"/>
  <c r="I33" i="3"/>
  <c r="J220" i="3"/>
  <c r="C221" i="3"/>
  <c r="D221" i="3"/>
  <c r="C222" i="3"/>
  <c r="D222" i="3"/>
  <c r="C223" i="3"/>
  <c r="D223" i="3"/>
  <c r="C224" i="3"/>
  <c r="D224" i="3"/>
  <c r="C225" i="3"/>
  <c r="D225" i="3"/>
  <c r="C226" i="3"/>
  <c r="D226" i="3"/>
  <c r="C227" i="3"/>
  <c r="D227" i="3"/>
  <c r="C228" i="3"/>
  <c r="D228" i="3"/>
  <c r="C229" i="3"/>
  <c r="D229" i="3"/>
  <c r="B233" i="3"/>
  <c r="B236" i="3"/>
  <c r="B234" i="3"/>
  <c r="B235" i="3"/>
  <c r="B238" i="3"/>
  <c r="C220" i="3"/>
  <c r="D220" i="3"/>
  <c r="B207" i="3"/>
  <c r="B213" i="3"/>
  <c r="B210" i="3"/>
  <c r="B208" i="3"/>
  <c r="B209" i="3"/>
  <c r="B212" i="3"/>
  <c r="C203" i="3"/>
  <c r="D203" i="3"/>
  <c r="G203" i="3"/>
  <c r="C202" i="3"/>
  <c r="D202" i="3"/>
  <c r="G202" i="3"/>
  <c r="C201" i="3"/>
  <c r="D201" i="3"/>
  <c r="G201" i="3"/>
  <c r="C200" i="3"/>
  <c r="D200" i="3"/>
  <c r="G200" i="3"/>
  <c r="C199" i="3"/>
  <c r="D199" i="3"/>
  <c r="G199" i="3"/>
  <c r="C198" i="3"/>
  <c r="D198" i="3"/>
  <c r="G198" i="3"/>
  <c r="C197" i="3"/>
  <c r="D197" i="3"/>
  <c r="G197" i="3"/>
  <c r="C196" i="3"/>
  <c r="D196" i="3"/>
  <c r="G196" i="3"/>
  <c r="C195" i="3"/>
  <c r="D195" i="3"/>
  <c r="G195" i="3"/>
  <c r="C194" i="3"/>
  <c r="D194" i="3"/>
  <c r="G194" i="3"/>
  <c r="I194" i="3"/>
  <c r="J194" i="3"/>
  <c r="B180" i="3"/>
  <c r="B186" i="3"/>
  <c r="B183" i="3"/>
  <c r="B181" i="3"/>
  <c r="B182" i="3"/>
  <c r="B185" i="3"/>
  <c r="C176" i="3"/>
  <c r="D176" i="3"/>
  <c r="G176" i="3"/>
  <c r="C175" i="3"/>
  <c r="D175" i="3"/>
  <c r="G175" i="3"/>
  <c r="C174" i="3"/>
  <c r="D174" i="3"/>
  <c r="G174" i="3"/>
  <c r="C173" i="3"/>
  <c r="D173" i="3"/>
  <c r="G173" i="3"/>
  <c r="C172" i="3"/>
  <c r="D172" i="3"/>
  <c r="G172" i="3"/>
  <c r="C171" i="3"/>
  <c r="D171" i="3"/>
  <c r="G171" i="3"/>
  <c r="C170" i="3"/>
  <c r="D170" i="3"/>
  <c r="G170" i="3"/>
  <c r="C169" i="3"/>
  <c r="D169" i="3"/>
  <c r="G169" i="3"/>
  <c r="C168" i="3"/>
  <c r="D168" i="3"/>
  <c r="G168" i="3"/>
  <c r="C167" i="3"/>
  <c r="D167" i="3"/>
  <c r="G167" i="3"/>
  <c r="I167" i="3"/>
  <c r="J167" i="3"/>
  <c r="B154" i="3"/>
  <c r="B160" i="3"/>
  <c r="B157" i="3"/>
  <c r="B155" i="3"/>
  <c r="B156" i="3"/>
  <c r="B159" i="3"/>
  <c r="C150" i="3"/>
  <c r="D150" i="3"/>
  <c r="G150" i="3"/>
  <c r="C149" i="3"/>
  <c r="D149" i="3"/>
  <c r="G149" i="3"/>
  <c r="C148" i="3"/>
  <c r="D148" i="3"/>
  <c r="G148" i="3"/>
  <c r="C147" i="3"/>
  <c r="D147" i="3"/>
  <c r="G147" i="3"/>
  <c r="C146" i="3"/>
  <c r="D146" i="3"/>
  <c r="G146" i="3"/>
  <c r="C145" i="3"/>
  <c r="D145" i="3"/>
  <c r="G145" i="3"/>
  <c r="C144" i="3"/>
  <c r="D144" i="3"/>
  <c r="G144" i="3"/>
  <c r="C143" i="3"/>
  <c r="D143" i="3"/>
  <c r="G143" i="3"/>
  <c r="C142" i="3"/>
  <c r="D142" i="3"/>
  <c r="G142" i="3"/>
  <c r="C141" i="3"/>
  <c r="D141" i="3"/>
  <c r="G141" i="3"/>
  <c r="I141" i="3"/>
  <c r="J141" i="3"/>
  <c r="B127" i="3"/>
  <c r="B133" i="3"/>
  <c r="B130" i="3"/>
  <c r="B128" i="3"/>
  <c r="B129" i="3"/>
  <c r="B132" i="3"/>
  <c r="C123" i="3"/>
  <c r="D123" i="3"/>
  <c r="G123" i="3"/>
  <c r="C122" i="3"/>
  <c r="D122" i="3"/>
  <c r="G122" i="3"/>
  <c r="C121" i="3"/>
  <c r="D121" i="3"/>
  <c r="G121" i="3"/>
  <c r="C120" i="3"/>
  <c r="D120" i="3"/>
  <c r="G120" i="3"/>
  <c r="C119" i="3"/>
  <c r="D119" i="3"/>
  <c r="G119" i="3"/>
  <c r="C118" i="3"/>
  <c r="D118" i="3"/>
  <c r="G118" i="3"/>
  <c r="C117" i="3"/>
  <c r="D117" i="3"/>
  <c r="G117" i="3"/>
  <c r="C116" i="3"/>
  <c r="D116" i="3"/>
  <c r="G116" i="3"/>
  <c r="C115" i="3"/>
  <c r="D115" i="3"/>
  <c r="G115" i="3"/>
  <c r="C114" i="3"/>
  <c r="D114" i="3"/>
  <c r="I114" i="3"/>
  <c r="J114" i="3"/>
  <c r="B99" i="3"/>
  <c r="B105" i="3"/>
  <c r="B102" i="3"/>
  <c r="B100" i="3"/>
  <c r="B101" i="3"/>
  <c r="C95" i="3"/>
  <c r="D95" i="3"/>
  <c r="G95" i="3"/>
  <c r="C94" i="3"/>
  <c r="D94" i="3"/>
  <c r="G94" i="3"/>
  <c r="C93" i="3"/>
  <c r="D93" i="3"/>
  <c r="G93" i="3"/>
  <c r="C92" i="3"/>
  <c r="D92" i="3"/>
  <c r="G92" i="3"/>
  <c r="C91" i="3"/>
  <c r="D91" i="3"/>
  <c r="G91" i="3"/>
  <c r="C90" i="3"/>
  <c r="D90" i="3"/>
  <c r="G90" i="3"/>
  <c r="C89" i="3"/>
  <c r="D89" i="3"/>
  <c r="G89" i="3"/>
  <c r="C88" i="3"/>
  <c r="D88" i="3"/>
  <c r="G88" i="3"/>
  <c r="C87" i="3"/>
  <c r="D87" i="3"/>
  <c r="G87" i="3"/>
  <c r="C86" i="3"/>
  <c r="D86" i="3"/>
  <c r="G86" i="3"/>
  <c r="I86" i="3"/>
  <c r="J86" i="3"/>
  <c r="B72" i="3"/>
  <c r="B78" i="3"/>
  <c r="B75" i="3"/>
  <c r="B73" i="3"/>
  <c r="B74" i="3"/>
  <c r="B77" i="3"/>
  <c r="C68" i="3"/>
  <c r="D68" i="3"/>
  <c r="G68" i="3"/>
  <c r="C67" i="3"/>
  <c r="D67" i="3"/>
  <c r="G67" i="3"/>
  <c r="C66" i="3"/>
  <c r="D66" i="3"/>
  <c r="G66" i="3"/>
  <c r="C64" i="3"/>
  <c r="D64" i="3"/>
  <c r="G64" i="3"/>
  <c r="C63" i="3"/>
  <c r="D63" i="3"/>
  <c r="G63" i="3"/>
  <c r="C62" i="3"/>
  <c r="D62" i="3"/>
  <c r="G62" i="3"/>
  <c r="C61" i="3"/>
  <c r="D61" i="3"/>
  <c r="G61" i="3"/>
  <c r="C60" i="3"/>
  <c r="D60" i="3"/>
  <c r="G60" i="3"/>
  <c r="B46" i="3"/>
  <c r="B49" i="3"/>
  <c r="B47" i="3"/>
  <c r="B48" i="3"/>
  <c r="C42" i="3"/>
  <c r="D42" i="3"/>
  <c r="C41" i="3"/>
  <c r="D41" i="3"/>
  <c r="C40" i="3"/>
  <c r="D40" i="3"/>
  <c r="C39" i="3"/>
  <c r="D39" i="3"/>
  <c r="C38" i="3"/>
  <c r="D38" i="3"/>
  <c r="C37" i="3"/>
  <c r="D37" i="3"/>
  <c r="C36" i="3"/>
  <c r="D36" i="3"/>
  <c r="C35" i="3"/>
  <c r="D35" i="3"/>
  <c r="C34" i="3"/>
  <c r="D34" i="3"/>
  <c r="C33" i="3"/>
  <c r="D33" i="3"/>
  <c r="J33" i="3"/>
  <c r="B19" i="3"/>
  <c r="B20" i="3"/>
  <c r="B21" i="3"/>
  <c r="B22" i="3"/>
  <c r="B24" i="3"/>
  <c r="B25" i="3"/>
  <c r="E7" i="3"/>
  <c r="I7" i="3"/>
  <c r="E8" i="3"/>
  <c r="F8" i="3"/>
  <c r="E9" i="3"/>
  <c r="F9" i="3"/>
  <c r="H9" i="3"/>
  <c r="I9" i="3"/>
  <c r="E10" i="3"/>
  <c r="F10" i="3"/>
  <c r="H10" i="3"/>
  <c r="I10" i="3"/>
  <c r="E11" i="3"/>
  <c r="F11" i="3"/>
  <c r="H11" i="3"/>
  <c r="I11" i="3"/>
  <c r="E12" i="3"/>
  <c r="F12" i="3"/>
  <c r="H12" i="3"/>
  <c r="I12" i="3"/>
  <c r="D13" i="3"/>
  <c r="E13" i="3"/>
  <c r="F13" i="3"/>
  <c r="H13" i="3"/>
  <c r="I13" i="3"/>
  <c r="D14" i="3"/>
  <c r="E14" i="3"/>
  <c r="F14" i="3"/>
  <c r="H14" i="3"/>
  <c r="I14" i="3"/>
  <c r="B15" i="3"/>
  <c r="D15" i="3"/>
  <c r="E15" i="3"/>
  <c r="F15" i="3"/>
  <c r="H15" i="3"/>
  <c r="I15" i="3"/>
  <c r="D16" i="3"/>
  <c r="E16" i="3"/>
  <c r="F16" i="3"/>
  <c r="H16" i="3"/>
  <c r="I16" i="3"/>
  <c r="J219" i="2"/>
  <c r="C220" i="2"/>
  <c r="D220" i="2"/>
  <c r="E220" i="2"/>
  <c r="G220" i="2"/>
  <c r="H220" i="2"/>
  <c r="C221" i="2"/>
  <c r="D221" i="2"/>
  <c r="E221" i="2"/>
  <c r="G221" i="2"/>
  <c r="H221" i="2"/>
  <c r="C222" i="2"/>
  <c r="D222" i="2"/>
  <c r="E222" i="2"/>
  <c r="G222" i="2"/>
  <c r="H222" i="2"/>
  <c r="C223" i="2"/>
  <c r="D223" i="2"/>
  <c r="E223" i="2"/>
  <c r="G223" i="2"/>
  <c r="H223" i="2"/>
  <c r="C224" i="2"/>
  <c r="D224" i="2"/>
  <c r="E224" i="2"/>
  <c r="G224" i="2"/>
  <c r="H224" i="2"/>
  <c r="C225" i="2"/>
  <c r="D225" i="2"/>
  <c r="E225" i="2"/>
  <c r="G225" i="2"/>
  <c r="H225" i="2"/>
  <c r="C226" i="2"/>
  <c r="D226" i="2"/>
  <c r="E226" i="2"/>
  <c r="G226" i="2"/>
  <c r="H226" i="2"/>
  <c r="C227" i="2"/>
  <c r="D227" i="2"/>
  <c r="E227" i="2"/>
  <c r="G227" i="2"/>
  <c r="H227" i="2"/>
  <c r="C228" i="2"/>
  <c r="D228" i="2"/>
  <c r="E228" i="2"/>
  <c r="G228" i="2"/>
  <c r="H228" i="2"/>
  <c r="C219" i="2"/>
  <c r="D219" i="2"/>
  <c r="E219" i="2"/>
  <c r="G219" i="2"/>
  <c r="H219" i="2"/>
  <c r="B232" i="2"/>
  <c r="B238" i="2"/>
  <c r="B235" i="2"/>
  <c r="B233" i="2"/>
  <c r="B234" i="2"/>
  <c r="B237" i="2"/>
  <c r="I219" i="2"/>
  <c r="A194" i="2"/>
  <c r="C194" i="2"/>
  <c r="D194" i="2"/>
  <c r="E194" i="2"/>
  <c r="G194" i="2"/>
  <c r="H194" i="2"/>
  <c r="C195" i="2"/>
  <c r="D195" i="2"/>
  <c r="E195" i="2"/>
  <c r="G195" i="2"/>
  <c r="H195" i="2"/>
  <c r="C196" i="2"/>
  <c r="D196" i="2"/>
  <c r="E196" i="2"/>
  <c r="G196" i="2"/>
  <c r="H196" i="2"/>
  <c r="C197" i="2"/>
  <c r="D197" i="2"/>
  <c r="E197" i="2"/>
  <c r="G197" i="2"/>
  <c r="H197" i="2"/>
  <c r="C198" i="2"/>
  <c r="D198" i="2"/>
  <c r="E198" i="2"/>
  <c r="G198" i="2"/>
  <c r="H198" i="2"/>
  <c r="C199" i="2"/>
  <c r="D199" i="2"/>
  <c r="E199" i="2"/>
  <c r="G199" i="2"/>
  <c r="H199" i="2"/>
  <c r="C200" i="2"/>
  <c r="D200" i="2"/>
  <c r="E200" i="2"/>
  <c r="G200" i="2"/>
  <c r="H200" i="2"/>
  <c r="C201" i="2"/>
  <c r="D201" i="2"/>
  <c r="E201" i="2"/>
  <c r="G201" i="2"/>
  <c r="H201" i="2"/>
  <c r="C202" i="2"/>
  <c r="D202" i="2"/>
  <c r="E202" i="2"/>
  <c r="G202" i="2"/>
  <c r="H202" i="2"/>
  <c r="C193" i="2"/>
  <c r="D193" i="2"/>
  <c r="E193" i="2"/>
  <c r="G193" i="2"/>
  <c r="H193" i="2"/>
  <c r="B206" i="2"/>
  <c r="B212" i="2"/>
  <c r="B209" i="2"/>
  <c r="B207" i="2"/>
  <c r="B208" i="2"/>
  <c r="B211" i="2"/>
  <c r="I193" i="2"/>
  <c r="J193" i="2"/>
  <c r="B185" i="2"/>
  <c r="C166" i="2"/>
  <c r="D166" i="2"/>
  <c r="E166" i="2"/>
  <c r="G166" i="2"/>
  <c r="H166" i="2"/>
  <c r="C167" i="2"/>
  <c r="D167" i="2"/>
  <c r="E167" i="2"/>
  <c r="G167" i="2"/>
  <c r="H167" i="2"/>
  <c r="C168" i="2"/>
  <c r="D168" i="2"/>
  <c r="E168" i="2"/>
  <c r="G168" i="2"/>
  <c r="H168" i="2"/>
  <c r="C169" i="2"/>
  <c r="D169" i="2"/>
  <c r="E169" i="2"/>
  <c r="G169" i="2"/>
  <c r="H169" i="2"/>
  <c r="C170" i="2"/>
  <c r="D170" i="2"/>
  <c r="E170" i="2"/>
  <c r="G170" i="2"/>
  <c r="H170" i="2"/>
  <c r="C171" i="2"/>
  <c r="D171" i="2"/>
  <c r="E171" i="2"/>
  <c r="G171" i="2"/>
  <c r="H171" i="2"/>
  <c r="C172" i="2"/>
  <c r="D172" i="2"/>
  <c r="E172" i="2"/>
  <c r="G172" i="2"/>
  <c r="H172" i="2"/>
  <c r="C173" i="2"/>
  <c r="D173" i="2"/>
  <c r="E173" i="2"/>
  <c r="G173" i="2"/>
  <c r="H173" i="2"/>
  <c r="C174" i="2"/>
  <c r="D174" i="2"/>
  <c r="E174" i="2"/>
  <c r="G174" i="2"/>
  <c r="H174" i="2"/>
  <c r="C175" i="2"/>
  <c r="D175" i="2"/>
  <c r="E175" i="2"/>
  <c r="G175" i="2"/>
  <c r="H175" i="2"/>
  <c r="B179" i="2"/>
  <c r="B182" i="2"/>
  <c r="B180" i="2"/>
  <c r="B181" i="2"/>
  <c r="B184" i="2"/>
  <c r="I166" i="2"/>
  <c r="J166" i="2"/>
  <c r="C85" i="2"/>
  <c r="D85" i="2"/>
  <c r="H85" i="2"/>
  <c r="C58" i="2"/>
  <c r="D58" i="2"/>
  <c r="G58" i="2"/>
  <c r="H58" i="2"/>
  <c r="C32" i="2"/>
  <c r="D32" i="2"/>
  <c r="E32" i="2"/>
  <c r="G32" i="2"/>
  <c r="H32" i="2"/>
  <c r="C59" i="2"/>
  <c r="D59" i="2"/>
  <c r="E59" i="2"/>
  <c r="G59" i="2"/>
  <c r="H59" i="2"/>
  <c r="C60" i="2"/>
  <c r="D60" i="2"/>
  <c r="E60" i="2"/>
  <c r="G60" i="2"/>
  <c r="H60" i="2"/>
  <c r="C61" i="2"/>
  <c r="D61" i="2"/>
  <c r="E61" i="2"/>
  <c r="G61" i="2"/>
  <c r="H61" i="2"/>
  <c r="C62" i="2"/>
  <c r="D62" i="2"/>
  <c r="E62" i="2"/>
  <c r="G62" i="2"/>
  <c r="H62" i="2"/>
  <c r="C63" i="2"/>
  <c r="D63" i="2"/>
  <c r="E63" i="2"/>
  <c r="G63" i="2"/>
  <c r="H63" i="2"/>
  <c r="C64" i="2"/>
  <c r="D64" i="2"/>
  <c r="E64" i="2"/>
  <c r="G64" i="2"/>
  <c r="H64" i="2"/>
  <c r="C65" i="2"/>
  <c r="D65" i="2"/>
  <c r="E65" i="2"/>
  <c r="G65" i="2"/>
  <c r="H65" i="2"/>
  <c r="C66" i="2"/>
  <c r="D66" i="2"/>
  <c r="E66" i="2"/>
  <c r="G66" i="2"/>
  <c r="H66" i="2"/>
  <c r="C67" i="2"/>
  <c r="D67" i="2"/>
  <c r="E67" i="2"/>
  <c r="G67" i="2"/>
  <c r="H67" i="2"/>
  <c r="I58" i="2"/>
  <c r="C41" i="2"/>
  <c r="D41" i="2"/>
  <c r="E41" i="2"/>
  <c r="G41" i="2"/>
  <c r="H41" i="2"/>
  <c r="C40" i="2"/>
  <c r="D40" i="2"/>
  <c r="E40" i="2"/>
  <c r="G40" i="2"/>
  <c r="H40" i="2"/>
  <c r="C39" i="2"/>
  <c r="D39" i="2"/>
  <c r="E39" i="2"/>
  <c r="G39" i="2"/>
  <c r="H39" i="2"/>
  <c r="C38" i="2"/>
  <c r="D38" i="2"/>
  <c r="E38" i="2"/>
  <c r="G38" i="2"/>
  <c r="H38" i="2"/>
  <c r="C37" i="2"/>
  <c r="D37" i="2"/>
  <c r="E37" i="2"/>
  <c r="G37" i="2"/>
  <c r="H37" i="2"/>
  <c r="C36" i="2"/>
  <c r="D36" i="2"/>
  <c r="E36" i="2"/>
  <c r="G36" i="2"/>
  <c r="H36" i="2"/>
  <c r="C35" i="2"/>
  <c r="D35" i="2"/>
  <c r="E35" i="2"/>
  <c r="G35" i="2"/>
  <c r="H35" i="2"/>
  <c r="C34" i="2"/>
  <c r="D34" i="2"/>
  <c r="E34" i="2"/>
  <c r="G34" i="2"/>
  <c r="H34" i="2"/>
  <c r="C33" i="2"/>
  <c r="D33" i="2"/>
  <c r="E33" i="2"/>
  <c r="G33" i="2"/>
  <c r="H33" i="2"/>
  <c r="C94" i="2"/>
  <c r="D94" i="2"/>
  <c r="E94" i="2"/>
  <c r="G94" i="2"/>
  <c r="H94" i="2"/>
  <c r="C93" i="2"/>
  <c r="D93" i="2"/>
  <c r="E93" i="2"/>
  <c r="G93" i="2"/>
  <c r="H93" i="2"/>
  <c r="C92" i="2"/>
  <c r="D92" i="2"/>
  <c r="E92" i="2"/>
  <c r="G92" i="2"/>
  <c r="H92" i="2"/>
  <c r="C91" i="2"/>
  <c r="D91" i="2"/>
  <c r="E91" i="2"/>
  <c r="G91" i="2"/>
  <c r="H91" i="2"/>
  <c r="C90" i="2"/>
  <c r="D90" i="2"/>
  <c r="E90" i="2"/>
  <c r="G90" i="2"/>
  <c r="H90" i="2"/>
  <c r="C89" i="2"/>
  <c r="D89" i="2"/>
  <c r="E89" i="2"/>
  <c r="G89" i="2"/>
  <c r="H89" i="2"/>
  <c r="C88" i="2"/>
  <c r="D88" i="2"/>
  <c r="E88" i="2"/>
  <c r="G88" i="2"/>
  <c r="H88" i="2"/>
  <c r="C87" i="2"/>
  <c r="D87" i="2"/>
  <c r="E87" i="2"/>
  <c r="G87" i="2"/>
  <c r="H87" i="2"/>
  <c r="C86" i="2"/>
  <c r="D86" i="2"/>
  <c r="E86" i="2"/>
  <c r="G86" i="2"/>
  <c r="H86" i="2"/>
  <c r="C149" i="2"/>
  <c r="D149" i="2"/>
  <c r="E149" i="2"/>
  <c r="G149" i="2"/>
  <c r="H149" i="2"/>
  <c r="C148" i="2"/>
  <c r="D148" i="2"/>
  <c r="E148" i="2"/>
  <c r="G148" i="2"/>
  <c r="H148" i="2"/>
  <c r="C147" i="2"/>
  <c r="D147" i="2"/>
  <c r="E147" i="2"/>
  <c r="G147" i="2"/>
  <c r="H147" i="2"/>
  <c r="C146" i="2"/>
  <c r="D146" i="2"/>
  <c r="E146" i="2"/>
  <c r="G146" i="2"/>
  <c r="H146" i="2"/>
  <c r="C145" i="2"/>
  <c r="D145" i="2"/>
  <c r="E145" i="2"/>
  <c r="G145" i="2"/>
  <c r="H145" i="2"/>
  <c r="C144" i="2"/>
  <c r="D144" i="2"/>
  <c r="E144" i="2"/>
  <c r="G144" i="2"/>
  <c r="H144" i="2"/>
  <c r="C143" i="2"/>
  <c r="D143" i="2"/>
  <c r="E143" i="2"/>
  <c r="G143" i="2"/>
  <c r="H143" i="2"/>
  <c r="C142" i="2"/>
  <c r="D142" i="2"/>
  <c r="E142" i="2"/>
  <c r="G142" i="2"/>
  <c r="H142" i="2"/>
  <c r="C141" i="2"/>
  <c r="D141" i="2"/>
  <c r="E141" i="2"/>
  <c r="G141" i="2"/>
  <c r="H141" i="2"/>
  <c r="C140" i="2"/>
  <c r="D140" i="2"/>
  <c r="E140" i="2"/>
  <c r="G140" i="2"/>
  <c r="H140" i="2"/>
  <c r="B156" i="2"/>
  <c r="B158" i="2"/>
  <c r="C122" i="2"/>
  <c r="D122" i="2"/>
  <c r="E122" i="2"/>
  <c r="G122" i="2"/>
  <c r="H122" i="2"/>
  <c r="C121" i="2"/>
  <c r="D121" i="2"/>
  <c r="E121" i="2"/>
  <c r="G121" i="2"/>
  <c r="H121" i="2"/>
  <c r="C120" i="2"/>
  <c r="D120" i="2"/>
  <c r="E120" i="2"/>
  <c r="G120" i="2"/>
  <c r="H120" i="2"/>
  <c r="C119" i="2"/>
  <c r="D119" i="2"/>
  <c r="E119" i="2"/>
  <c r="G119" i="2"/>
  <c r="H119" i="2"/>
  <c r="C118" i="2"/>
  <c r="D118" i="2"/>
  <c r="E118" i="2"/>
  <c r="G118" i="2"/>
  <c r="H118" i="2"/>
  <c r="C117" i="2"/>
  <c r="D117" i="2"/>
  <c r="E117" i="2"/>
  <c r="G117" i="2"/>
  <c r="H117" i="2"/>
  <c r="C116" i="2"/>
  <c r="D116" i="2"/>
  <c r="E116" i="2"/>
  <c r="G116" i="2"/>
  <c r="H116" i="2"/>
  <c r="C115" i="2"/>
  <c r="D115" i="2"/>
  <c r="E115" i="2"/>
  <c r="G115" i="2"/>
  <c r="H115" i="2"/>
  <c r="C114" i="2"/>
  <c r="D114" i="2"/>
  <c r="E114" i="2"/>
  <c r="G114" i="2"/>
  <c r="H114" i="2"/>
  <c r="C113" i="2"/>
  <c r="D113" i="2"/>
  <c r="E113" i="2"/>
  <c r="G113" i="2"/>
  <c r="H113" i="2"/>
  <c r="B153" i="2"/>
  <c r="B154" i="2"/>
  <c r="B155" i="2"/>
  <c r="I140" i="2"/>
  <c r="J140" i="2"/>
  <c r="B126" i="2"/>
  <c r="B132" i="2"/>
  <c r="B129" i="2"/>
  <c r="B127" i="2"/>
  <c r="B128" i="2"/>
  <c r="B131" i="2"/>
  <c r="I113" i="2"/>
  <c r="J113" i="2"/>
  <c r="B98" i="2"/>
  <c r="B104" i="2"/>
  <c r="B101" i="2"/>
  <c r="B99" i="2"/>
  <c r="B100" i="2"/>
  <c r="B103" i="2"/>
  <c r="I85" i="2"/>
  <c r="J85" i="2"/>
  <c r="B71" i="2"/>
  <c r="B77" i="2"/>
  <c r="B74" i="2"/>
  <c r="B72" i="2"/>
  <c r="B73" i="2"/>
  <c r="B76" i="2"/>
  <c r="J58" i="2"/>
  <c r="B45" i="2"/>
  <c r="B51" i="2"/>
  <c r="B48" i="2"/>
  <c r="B46" i="2"/>
  <c r="B47" i="2"/>
  <c r="B50" i="2"/>
  <c r="I32" i="2"/>
  <c r="J32" i="2"/>
  <c r="J6" i="2"/>
  <c r="I6" i="2"/>
  <c r="H7" i="2"/>
  <c r="H8" i="2"/>
  <c r="H9" i="2"/>
  <c r="H10" i="2"/>
  <c r="H11" i="2"/>
  <c r="H12" i="2"/>
  <c r="H13" i="2"/>
  <c r="H14" i="2"/>
  <c r="H15" i="2"/>
  <c r="H6" i="2"/>
  <c r="G14" i="2"/>
  <c r="G15" i="2"/>
  <c r="G13" i="2"/>
  <c r="G12" i="2"/>
  <c r="G11" i="2"/>
  <c r="G10" i="2"/>
  <c r="G9" i="2"/>
  <c r="G8" i="2"/>
  <c r="G7" i="2"/>
  <c r="G6" i="2"/>
  <c r="B19" i="2"/>
  <c r="B25" i="2"/>
  <c r="B22" i="2"/>
  <c r="B20" i="2"/>
  <c r="B21" i="2"/>
  <c r="B24" i="2"/>
  <c r="E7" i="2"/>
  <c r="E8" i="2"/>
  <c r="E9" i="2"/>
  <c r="E10" i="2"/>
  <c r="E11" i="2"/>
  <c r="E12" i="2"/>
  <c r="E13" i="2"/>
  <c r="E14" i="2"/>
  <c r="E15" i="2"/>
  <c r="E6" i="2"/>
  <c r="D7" i="2"/>
  <c r="D8" i="2"/>
  <c r="D9" i="2"/>
  <c r="D10" i="2"/>
  <c r="D11" i="2"/>
  <c r="D12" i="2"/>
  <c r="D13" i="2"/>
  <c r="D14" i="2"/>
  <c r="D15" i="2"/>
  <c r="C7" i="2"/>
  <c r="C8" i="2"/>
  <c r="C9" i="2"/>
  <c r="C10" i="2"/>
  <c r="C11" i="2"/>
  <c r="A12" i="2"/>
  <c r="C12" i="2"/>
  <c r="C13" i="2"/>
  <c r="C14" i="2"/>
  <c r="C15" i="2"/>
  <c r="C6" i="2"/>
</calcChain>
</file>

<file path=xl/sharedStrings.xml><?xml version="1.0" encoding="utf-8"?>
<sst xmlns="http://schemas.openxmlformats.org/spreadsheetml/2006/main" count="505" uniqueCount="63">
  <si>
    <t>Strength of B Field</t>
  </si>
  <si>
    <t>Current (A)</t>
  </si>
  <si>
    <t>B (mT)</t>
  </si>
  <si>
    <t>A = 5</t>
  </si>
  <si>
    <t>Alpha Left</t>
  </si>
  <si>
    <t>Alpha Right</t>
  </si>
  <si>
    <t>Alpha Averge</t>
  </si>
  <si>
    <t xml:space="preserve">Left Left </t>
  </si>
  <si>
    <t>Left Right</t>
  </si>
  <si>
    <t>Right Left</t>
  </si>
  <si>
    <t>Right Right</t>
  </si>
  <si>
    <t xml:space="preserve">A </t>
  </si>
  <si>
    <t>n1</t>
  </si>
  <si>
    <t>n2</t>
  </si>
  <si>
    <t xml:space="preserve">Alpha (radians) </t>
  </si>
  <si>
    <t xml:space="preserve">Beta 2 (radians) </t>
  </si>
  <si>
    <t xml:space="preserve">Beta 1 (radians) </t>
  </si>
  <si>
    <t>delta lamda /lamda</t>
  </si>
  <si>
    <t>E</t>
  </si>
  <si>
    <t>B (T)</t>
  </si>
  <si>
    <t>m_e (kg)</t>
  </si>
  <si>
    <t>h (J-s)</t>
  </si>
  <si>
    <t>e( C)</t>
  </si>
  <si>
    <t xml:space="preserve">Delta E theory </t>
  </si>
  <si>
    <t>mu_B</t>
  </si>
  <si>
    <t>Delta E (J)</t>
  </si>
  <si>
    <t>Percent Diff</t>
  </si>
  <si>
    <t xml:space="preserve">Delta E averge </t>
  </si>
  <si>
    <t xml:space="preserve">B (T) </t>
  </si>
  <si>
    <t xml:space="preserve">Delta E (+) </t>
  </si>
  <si>
    <t>Delta E (-)</t>
  </si>
  <si>
    <t xml:space="preserve">I (A) </t>
  </si>
  <si>
    <t>mu_B (+)</t>
  </si>
  <si>
    <t>mu_B (actual)</t>
  </si>
  <si>
    <t>mu_B (-)</t>
  </si>
  <si>
    <t>mu_B (combined)</t>
  </si>
  <si>
    <t>A = 6</t>
  </si>
  <si>
    <t>A = 7</t>
  </si>
  <si>
    <t>A = 8</t>
  </si>
  <si>
    <t>A = 9</t>
  </si>
  <si>
    <t>Outer Alpha (radians)</t>
  </si>
  <si>
    <t xml:space="preserve">Inner alpha (radians) </t>
  </si>
  <si>
    <t xml:space="preserve">Bata (out) </t>
  </si>
  <si>
    <t>Beta (in)</t>
  </si>
  <si>
    <t>delta lamda /lamda (inner)</t>
  </si>
  <si>
    <t>delta lamda /lamda outer</t>
  </si>
  <si>
    <t>Delta E (inner)</t>
  </si>
  <si>
    <t>Delta E (outer)</t>
  </si>
  <si>
    <t>Delta E averge (inner)</t>
  </si>
  <si>
    <t>Delta E averge (outer)</t>
  </si>
  <si>
    <t>Percent Diff (inner)</t>
  </si>
  <si>
    <t>Percent Diff (outer)</t>
  </si>
  <si>
    <t>Longitudonal Configuration</t>
  </si>
  <si>
    <t>Transverse Config</t>
  </si>
  <si>
    <t>Pi transition Transverse Config</t>
  </si>
  <si>
    <t>Pi Transtion for slongitudonal</t>
  </si>
  <si>
    <t>Alpha Averge (degrees)</t>
  </si>
  <si>
    <t>Outer Alpha (degrees)</t>
  </si>
  <si>
    <t>Inner alpha (degrees)</t>
  </si>
  <si>
    <t>Delta Avg</t>
  </si>
  <si>
    <t xml:space="preserve">Value </t>
  </si>
  <si>
    <t>mu_B (peak fitting)</t>
  </si>
  <si>
    <t>mu_B (peak finding)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</si>
</sst>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0.0"/>
    <numFmt numFmtId="165" formatCode="0.0000"/>
    <numFmt numFmtId="166" formatCode="0.00000"/>
    <numFmt numFmtId="167" formatCode="0.000000000"/>
    <numFmt numFmtId="168" formatCode="0.00000E+00"/>
    <numFmt numFmtId="169" formatCode="0.0000E+00"/>
    <numFmt numFmtId="170" formatCode="0.00000000"/>
    <numFmt numFmtId="171" formatCode="0.000E+00"/>
  </numFmts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166" fontId="3" fillId="0" borderId="0" xfId="0" applyNumberFormat="1" applyFont="1"/>
    <xf numFmtId="167" fontId="0" fillId="0" borderId="0" xfId="0" applyNumberFormat="1"/>
    <xf numFmtId="167" fontId="3" fillId="0" borderId="0" xfId="0" applyNumberFormat="1" applyFont="1"/>
    <xf numFmtId="168" fontId="0" fillId="0" borderId="0" xfId="0" applyNumberFormat="1"/>
    <xf numFmtId="9" fontId="0" fillId="0" borderId="0" xfId="7" applyFont="1"/>
    <xf numFmtId="0" fontId="0" fillId="0" borderId="0" xfId="0" applyAlignment="1"/>
    <xf numFmtId="169" fontId="0" fillId="0" borderId="0" xfId="0" applyNumberFormat="1"/>
    <xf numFmtId="10" fontId="0" fillId="0" borderId="0" xfId="7" applyNumberFormat="1" applyFont="1"/>
    <xf numFmtId="165" fontId="3" fillId="0" borderId="0" xfId="0" applyNumberFormat="1" applyFont="1"/>
    <xf numFmtId="170" fontId="0" fillId="0" borderId="0" xfId="0" applyNumberFormat="1"/>
    <xf numFmtId="171" fontId="0" fillId="0" borderId="0" xfId="0" applyNumberFormat="1" applyFont="1"/>
    <xf numFmtId="0" fontId="0" fillId="0" borderId="0" xfId="0" applyFont="1"/>
    <xf numFmtId="165" fontId="0" fillId="0" borderId="0" xfId="0" applyNumberFormat="1" applyFont="1"/>
    <xf numFmtId="171" fontId="3" fillId="0" borderId="0" xfId="0" applyNumberFormat="1" applyFont="1"/>
    <xf numFmtId="11" fontId="0" fillId="0" borderId="0" xfId="0" applyNumberFormat="1" applyFont="1"/>
    <xf numFmtId="0" fontId="0" fillId="0" borderId="0" xfId="0" applyAlignment="1">
      <alignment horizontal="center"/>
    </xf>
  </cellXfs>
  <cellStyles count="2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Hyperlink" xfId="1" builtinId="8" hidden="1"/>
    <cellStyle name="Hyperlink" xfId="3" builtinId="8" hidden="1"/>
    <cellStyle name="Hyperlink" xfId="5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Normal" xfId="0" builtinId="0"/>
    <cellStyle name="Percent" xfId="7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_rels/chart6.xml.rels><?xml version="1.0" encoding="UTF-8" standalone="yes"?>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'Magnetic Field'!$C$1</c:f>
              <c:strCache>
                <c:ptCount val="1"/>
                <c:pt idx="0">
                  <c:v>B (mT)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'Magnetic Field'!$B$2:$B$22</c:f>
              <c:numCache>
                <c:formatCode>0.0</c:formatCode>
                <c:ptCount val="21"/>
                <c:pt idx="0">
                  <c:v>0.0</c:v>
                </c:pt>
                <c:pt idx="1">
                  <c:v>0.5</c:v>
                </c:pt>
                <c:pt idx="2">
                  <c:v>1.0</c:v>
                </c:pt>
                <c:pt idx="3">
                  <c:v>1.5</c:v>
                </c:pt>
                <c:pt idx="4">
                  <c:v>2.0</c:v>
                </c:pt>
                <c:pt idx="5">
                  <c:v>2.5</c:v>
                </c:pt>
                <c:pt idx="6">
                  <c:v>3.0</c:v>
                </c:pt>
                <c:pt idx="7">
                  <c:v>3.5</c:v>
                </c:pt>
                <c:pt idx="8">
                  <c:v>4.0</c:v>
                </c:pt>
                <c:pt idx="9">
                  <c:v>4.5</c:v>
                </c:pt>
                <c:pt idx="10">
                  <c:v>5.0</c:v>
                </c:pt>
                <c:pt idx="11">
                  <c:v>5.5</c:v>
                </c:pt>
                <c:pt idx="12">
                  <c:v>6.0</c:v>
                </c:pt>
                <c:pt idx="13">
                  <c:v>6.5</c:v>
                </c:pt>
                <c:pt idx="14">
                  <c:v>7.0</c:v>
                </c:pt>
                <c:pt idx="15">
                  <c:v>7.5</c:v>
                </c:pt>
                <c:pt idx="16">
                  <c:v>8.0</c:v>
                </c:pt>
                <c:pt idx="17">
                  <c:v>8.5</c:v>
                </c:pt>
                <c:pt idx="18">
                  <c:v>9.0</c:v>
                </c:pt>
              </c:numCache>
            </c:numRef>
          </c:xVal>
          <c:yVal>
            <c:numRef>
              <c:f>'Magnetic Field'!$C$2:$C$22</c:f>
              <c:numCache>
                <c:formatCode>0.0</c:formatCode>
                <c:ptCount val="21"/>
                <c:pt idx="0">
                  <c:v>0.0</c:v>
                </c:pt>
                <c:pt idx="1">
                  <c:v>25.4</c:v>
                </c:pt>
                <c:pt idx="2">
                  <c:v>44.4</c:v>
                </c:pt>
                <c:pt idx="3">
                  <c:v>62.0</c:v>
                </c:pt>
                <c:pt idx="4">
                  <c:v>82.2</c:v>
                </c:pt>
                <c:pt idx="5">
                  <c:v>103.3</c:v>
                </c:pt>
                <c:pt idx="6">
                  <c:v>122.1</c:v>
                </c:pt>
                <c:pt idx="7">
                  <c:v>142.0</c:v>
                </c:pt>
                <c:pt idx="8">
                  <c:v>165.2</c:v>
                </c:pt>
                <c:pt idx="9">
                  <c:v>180.8</c:v>
                </c:pt>
                <c:pt idx="10">
                  <c:v>197.5</c:v>
                </c:pt>
                <c:pt idx="11">
                  <c:v>217.0</c:v>
                </c:pt>
                <c:pt idx="12">
                  <c:v>228.0</c:v>
                </c:pt>
                <c:pt idx="13">
                  <c:v>242.0</c:v>
                </c:pt>
                <c:pt idx="14">
                  <c:v>253.0</c:v>
                </c:pt>
                <c:pt idx="15">
                  <c:v>262.0</c:v>
                </c:pt>
                <c:pt idx="16">
                  <c:v>269.0</c:v>
                </c:pt>
                <c:pt idx="17">
                  <c:v>275.0</c:v>
                </c:pt>
                <c:pt idx="18">
                  <c:v>285.0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407-4974-8B75-1C96B34AD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4957696"/>
        <c:axId val="-1407068288"/>
      </c:scatterChart>
      <c:valAx>
        <c:axId val="-1034957696"/>
        <c:scaling>
          <c:orientation val="minMax"/>
          <c:max val="10.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Current into Coils</a:t>
                </a:r>
                <a:r>
                  <a:rPr lang="en-US" sz="1200" baseline="0"/>
                  <a:t> (A)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07068288"/>
        <c:crosses val="autoZero"/>
        <c:crossBetween val="midCat"/>
      </c:valAx>
      <c:valAx>
        <c:axId val="-140706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Magnetic Feild (mT)</a:t>
                </a:r>
              </a:p>
            </c:rich>
          </c:tx>
          <c:layout>
            <c:manualLayout>
              <c:xMode val="edge"/>
              <c:yMode val="edge"/>
              <c:x val="0.00963855421686747"/>
              <c:y val="0.364160294396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4957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Change in</a:t>
            </a:r>
            <a:r>
              <a:rPr lang="it-IT" baseline="0"/>
              <a:t> Shell Seperation By Magnetic Field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'Bhor Magnaton'!$D$4</c:f>
              <c:strCache>
                <c:ptCount val="1"/>
                <c:pt idx="0">
                  <c:v>Delta E (+) </c:v>
                </c:pt>
              </c:strCache>
            </c:strRef>
          </c:tx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.0"/>
            <c:dispRSqr val="0"/>
            <c:dispEq val="1"/>
            <c:trendlineLbl>
              <c:layout>
                <c:manualLayout>
                  <c:x val="-0.441446379593863"/>
                  <c:y val="0.115431059256279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'Bhor Magnaton'!$C$5:$C$13</c:f>
              <c:numCache>
                <c:formatCode>0.0000</c:formatCode>
                <c:ptCount val="9"/>
                <c:pt idx="0">
                  <c:v>0.0444</c:v>
                </c:pt>
                <c:pt idx="1">
                  <c:v>0.0822</c:v>
                </c:pt>
                <c:pt idx="2">
                  <c:v>0.1221</c:v>
                </c:pt>
                <c:pt idx="3">
                  <c:v>0.1652</c:v>
                </c:pt>
                <c:pt idx="4">
                  <c:v>0.1975</c:v>
                </c:pt>
                <c:pt idx="5">
                  <c:v>0.228</c:v>
                </c:pt>
                <c:pt idx="6">
                  <c:v>0.253</c:v>
                </c:pt>
                <c:pt idx="7">
                  <c:v>0.269</c:v>
                </c:pt>
                <c:pt idx="8">
                  <c:v>0.285</c:v>
                </c:pt>
              </c:numCache>
            </c:numRef>
          </c:xVal>
          <c:yVal>
            <c:numRef>
              <c:f>'Bhor Magnaton'!$D$5:$D$13</c:f>
              <c:numCache>
                <c:formatCode>General</c:formatCode>
                <c:ptCount val="9"/>
                <c:pt idx="0">
                  <c:v>4.02743954647535E-25</c:v>
                </c:pt>
                <c:pt idx="1">
                  <c:v>7.47496492459636E-25</c:v>
                </c:pt>
                <c:pt idx="2">
                  <c:v>1.11792108995135E-24</c:v>
                </c:pt>
                <c:pt idx="3">
                  <c:v>1.52605156255157E-24</c:v>
                </c:pt>
                <c:pt idx="4">
                  <c:v>1.82050698063266E-24</c:v>
                </c:pt>
                <c:pt idx="5">
                  <c:v>2.12540527025597E-24</c:v>
                </c:pt>
                <c:pt idx="6">
                  <c:v>2.35529396902386E-24</c:v>
                </c:pt>
                <c:pt idx="7">
                  <c:v>2.50916308507863E-24</c:v>
                </c:pt>
                <c:pt idx="8">
                  <c:v>2.66292270747022E-24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06444048"/>
        <c:axId val="-1406440656"/>
      </c:scatterChart>
      <c:valAx>
        <c:axId val="-140644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Magnetic Field (T)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06440656"/>
        <c:crosses val="autoZero"/>
        <c:crossBetween val="midCat"/>
      </c:valAx>
      <c:valAx>
        <c:axId val="-140644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Dela E(J)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06444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Change in</a:t>
            </a:r>
            <a:r>
              <a:rPr lang="it-IT" baseline="0"/>
              <a:t> Shell Seperation By Magnetic Field</a:t>
            </a:r>
          </a:p>
        </c:rich>
      </c:tx>
      <c:layout>
        <c:manualLayout>
          <c:xMode val="edge"/>
          <c:yMode val="edge"/>
          <c:x val="0.23397998540261"/>
          <c:y val="0.02919708029197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'Bhor Magnaton'!$E$4</c:f>
              <c:strCache>
                <c:ptCount val="1"/>
                <c:pt idx="0">
                  <c:v>Delta E (-)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.0"/>
            <c:dispRSqr val="0"/>
            <c:dispEq val="1"/>
            <c:trendlineLbl>
              <c:layout>
                <c:manualLayout>
                  <c:x val="-0.441446379593863"/>
                  <c:y val="0.115431059256279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'Bhor Magnaton'!$C$5:$C$13</c:f>
              <c:numCache>
                <c:formatCode>0.0000</c:formatCode>
                <c:ptCount val="9"/>
                <c:pt idx="0">
                  <c:v>0.0444</c:v>
                </c:pt>
                <c:pt idx="1">
                  <c:v>0.0822</c:v>
                </c:pt>
                <c:pt idx="2">
                  <c:v>0.1221</c:v>
                </c:pt>
                <c:pt idx="3">
                  <c:v>0.1652</c:v>
                </c:pt>
                <c:pt idx="4">
                  <c:v>0.1975</c:v>
                </c:pt>
                <c:pt idx="5">
                  <c:v>0.228</c:v>
                </c:pt>
                <c:pt idx="6">
                  <c:v>0.253</c:v>
                </c:pt>
                <c:pt idx="7">
                  <c:v>0.269</c:v>
                </c:pt>
                <c:pt idx="8">
                  <c:v>0.285</c:v>
                </c:pt>
              </c:numCache>
            </c:numRef>
          </c:xVal>
          <c:yVal>
            <c:numRef>
              <c:f>'Bhor Magnaton'!$E$5:$E$13</c:f>
              <c:numCache>
                <c:formatCode>General</c:formatCode>
                <c:ptCount val="9"/>
                <c:pt idx="0">
                  <c:v>3.95535823772719E-25</c:v>
                </c:pt>
                <c:pt idx="1">
                  <c:v>7.29333712893537E-25</c:v>
                </c:pt>
                <c:pt idx="2" formatCode="0.0000E+00">
                  <c:v>1.07679E-24</c:v>
                </c:pt>
                <c:pt idx="3">
                  <c:v>1.4468227318571E-24</c:v>
                </c:pt>
                <c:pt idx="4" formatCode="0.0000E+00">
                  <c:v>1.72507966327465E-24</c:v>
                </c:pt>
                <c:pt idx="5">
                  <c:v>1.97701666715975E-24</c:v>
                </c:pt>
                <c:pt idx="6">
                  <c:v>2.18680512117292E-24</c:v>
                </c:pt>
                <c:pt idx="7">
                  <c:v>2.2511375941463E-24</c:v>
                </c:pt>
                <c:pt idx="8">
                  <c:v>2.45271526910464E-24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06781472"/>
        <c:axId val="-1406279264"/>
      </c:scatterChart>
      <c:valAx>
        <c:axId val="-1406781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Magnetic Field (T)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06279264"/>
        <c:crosses val="autoZero"/>
        <c:crossBetween val="midCat"/>
      </c:valAx>
      <c:valAx>
        <c:axId val="-140627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Delta E(J)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0678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800" b="0" i="0" baseline="0">
                <a:effectLst/>
              </a:rPr>
              <a:t>Change in Shell Seperation By Magnetic Field</a:t>
            </a:r>
            <a:endParaRPr lang="it-IT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'Bhor Magnaton'!$D$28</c:f>
              <c:strCache>
                <c:ptCount val="1"/>
                <c:pt idx="0">
                  <c:v>Delta E (+) </c:v>
                </c:pt>
              </c:strCache>
            </c:strRef>
          </c:tx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.0"/>
            <c:dispRSqr val="0"/>
            <c:dispEq val="1"/>
            <c:trendlineLbl>
              <c:layout>
                <c:manualLayout>
                  <c:x val="-0.0363604741714978"/>
                  <c:y val="0.295530411060822"/>
                </c:manualLayout>
              </c:layout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'Bhor Magnaton'!$C$33:$C$36</c:f>
              <c:numCache>
                <c:formatCode>0.0000</c:formatCode>
                <c:ptCount val="4"/>
                <c:pt idx="0">
                  <c:v>0.228</c:v>
                </c:pt>
                <c:pt idx="1">
                  <c:v>0.253</c:v>
                </c:pt>
                <c:pt idx="2">
                  <c:v>0.269</c:v>
                </c:pt>
                <c:pt idx="3">
                  <c:v>0.285</c:v>
                </c:pt>
              </c:numCache>
            </c:numRef>
          </c:xVal>
          <c:yVal>
            <c:numRef>
              <c:f>'Bhor Magnaton'!$D$33:$D$36</c:f>
              <c:numCache>
                <c:formatCode>0.00E+00</c:formatCode>
                <c:ptCount val="4"/>
                <c:pt idx="0">
                  <c:v>2.04059871423995E-24</c:v>
                </c:pt>
                <c:pt idx="1">
                  <c:v>2.26599739543607E-24</c:v>
                </c:pt>
                <c:pt idx="2">
                  <c:v>2.66350929600893E-24</c:v>
                </c:pt>
                <c:pt idx="3">
                  <c:v>2.55190392025726E-24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06347568"/>
        <c:axId val="-1406344448"/>
      </c:scatterChart>
      <c:valAx>
        <c:axId val="-1406347568"/>
        <c:scaling>
          <c:orientation val="minMax"/>
          <c:max val="0.29"/>
          <c:min val="0.2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Magnetic Field (T)</a:t>
                </a:r>
                <a:endParaRPr lang="en-US">
                  <a:effectLst/>
                </a:endParaRPr>
              </a:p>
            </c:rich>
          </c:tx>
          <c:layout>
            <c:manualLayout>
              <c:xMode val="edge"/>
              <c:yMode val="edge"/>
              <c:x val="0.33096062992126"/>
              <c:y val="0.8848511547580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06344448"/>
        <c:crosses val="autoZero"/>
        <c:crossBetween val="midCat"/>
      </c:valAx>
      <c:valAx>
        <c:axId val="-1406344448"/>
        <c:scaling>
          <c:orientation val="minMax"/>
          <c:min val="1.9E-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Delta E(J)</a:t>
                </a:r>
                <a:endParaRPr lang="en-US">
                  <a:effectLst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06347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800" b="0" i="0" baseline="0">
                <a:effectLst/>
              </a:rPr>
              <a:t>Change in Shell Seperation By Magnetic Field</a:t>
            </a:r>
            <a:endParaRPr lang="it-IT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'Bhor Magnaton'!$E$28</c:f>
              <c:strCache>
                <c:ptCount val="1"/>
                <c:pt idx="0">
                  <c:v>Delta E (-)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.0"/>
            <c:dispRSqr val="0"/>
            <c:dispEq val="1"/>
            <c:trendlineLbl>
              <c:layout>
                <c:manualLayout>
                  <c:x val="-0.0126120965648525"/>
                  <c:y val="0.209856779713559"/>
                </c:manualLayout>
              </c:layout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'Bhor Magnaton'!$C$33:$C$36</c:f>
              <c:numCache>
                <c:formatCode>0.0000</c:formatCode>
                <c:ptCount val="4"/>
                <c:pt idx="0">
                  <c:v>0.228</c:v>
                </c:pt>
                <c:pt idx="1">
                  <c:v>0.253</c:v>
                </c:pt>
                <c:pt idx="2">
                  <c:v>0.269</c:v>
                </c:pt>
                <c:pt idx="3">
                  <c:v>0.285</c:v>
                </c:pt>
              </c:numCache>
            </c:numRef>
          </c:xVal>
          <c:yVal>
            <c:numRef>
              <c:f>'Bhor Magnaton'!$E$33:$E$36</c:f>
              <c:numCache>
                <c:formatCode>0.00E+00</c:formatCode>
                <c:ptCount val="4"/>
                <c:pt idx="0">
                  <c:v>1.79718468174785E-24</c:v>
                </c:pt>
                <c:pt idx="1">
                  <c:v>2.2262618624487E-24</c:v>
                </c:pt>
                <c:pt idx="2">
                  <c:v>2.37046903812856E-24</c:v>
                </c:pt>
                <c:pt idx="3">
                  <c:v>2.50974057296211E-24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2887216"/>
        <c:axId val="-1033627216"/>
      </c:scatterChart>
      <c:valAx>
        <c:axId val="-1032887216"/>
        <c:scaling>
          <c:orientation val="minMax"/>
          <c:max val="0.29"/>
          <c:min val="0.2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Magnetic Field (T)</a:t>
                </a:r>
                <a:endParaRPr lang="en-US">
                  <a:effectLst/>
                </a:endParaRPr>
              </a:p>
            </c:rich>
          </c:tx>
          <c:layout>
            <c:manualLayout>
              <c:xMode val="edge"/>
              <c:yMode val="edge"/>
              <c:x val="0.33096062992126"/>
              <c:y val="0.8848511547580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3627216"/>
        <c:crosses val="autoZero"/>
        <c:crossBetween val="midCat"/>
      </c:valAx>
      <c:valAx>
        <c:axId val="-1033627216"/>
        <c:scaling>
          <c:orientation val="minMax"/>
          <c:min val="1.7E-2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Delta E(J)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03288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800" b="0" i="0" baseline="0">
                <a:effectLst/>
              </a:rPr>
              <a:t>Change in Shell Seperation By Magnetic Field </a:t>
            </a:r>
            <a:endParaRPr lang="it-IT">
              <a:effectLst/>
            </a:endParaRPr>
          </a:p>
        </c:rich>
      </c:tx>
      <c:layout>
        <c:manualLayout>
          <c:xMode val="edge"/>
          <c:yMode val="edge"/>
          <c:x val="0.215217543199592"/>
          <c:y val="0.05932203389830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045113795707"/>
          <c:y val="0.180357222296365"/>
          <c:w val="0.863381620105706"/>
          <c:h val="0.681900662840874"/>
        </c:manualLayout>
      </c:layout>
      <c:scatterChart>
        <c:scatterStyle val="lineMarker"/>
        <c:varyColors val="0"/>
        <c:ser>
          <c:idx val="0"/>
          <c:order val="0"/>
          <c:tx>
            <c:strRef>
              <c:f>'Bhor Magnaton'!$F$28</c:f>
              <c:strCache>
                <c:ptCount val="1"/>
                <c:pt idx="0">
                  <c:v>Delta Avg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.0"/>
            <c:dispRSqr val="0"/>
            <c:dispEq val="1"/>
            <c:trendlineLbl>
              <c:layout>
                <c:manualLayout>
                  <c:x val="-0.0859080648195426"/>
                  <c:y val="0.466135059388763"/>
                </c:manualLayout>
              </c:layout>
              <c:numFmt formatCode="0.000E+00" sourceLinked="0"/>
              <c:spPr>
                <a:noFill/>
                <a:ln w="0"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ln>
                        <a:noFill/>
                      </a:ln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'Bhor Magnaton'!$C$29:$C$36</c:f>
              <c:numCache>
                <c:formatCode>0.0000</c:formatCode>
                <c:ptCount val="8"/>
                <c:pt idx="0">
                  <c:v>0.0822</c:v>
                </c:pt>
                <c:pt idx="1">
                  <c:v>0.1221</c:v>
                </c:pt>
                <c:pt idx="2">
                  <c:v>0.1652</c:v>
                </c:pt>
                <c:pt idx="3">
                  <c:v>0.1975</c:v>
                </c:pt>
                <c:pt idx="4">
                  <c:v>0.228</c:v>
                </c:pt>
                <c:pt idx="5">
                  <c:v>0.253</c:v>
                </c:pt>
                <c:pt idx="6">
                  <c:v>0.269</c:v>
                </c:pt>
                <c:pt idx="7">
                  <c:v>0.285</c:v>
                </c:pt>
              </c:numCache>
            </c:numRef>
          </c:xVal>
          <c:yVal>
            <c:numRef>
              <c:f>'Bhor Magnaton'!$F$29:$F$36</c:f>
              <c:numCache>
                <c:formatCode>0.000E+00</c:formatCode>
                <c:ptCount val="8"/>
                <c:pt idx="0">
                  <c:v>8.02559058150122E-25</c:v>
                </c:pt>
                <c:pt idx="1">
                  <c:v>1.19742512858842E-24</c:v>
                </c:pt>
                <c:pt idx="2">
                  <c:v>1.62235059271476E-24</c:v>
                </c:pt>
                <c:pt idx="3">
                  <c:v>1.93988991379421E-24</c:v>
                </c:pt>
                <c:pt idx="4">
                  <c:v>1.9188916979939E-24</c:v>
                </c:pt>
                <c:pt idx="5">
                  <c:v>2.24612962894238E-24</c:v>
                </c:pt>
                <c:pt idx="6">
                  <c:v>2.51698916706874E-24</c:v>
                </c:pt>
                <c:pt idx="7">
                  <c:v>2.53082224660968E-24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'Bhor Magnaton'!$G$28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intercept val="0.0"/>
            <c:dispRSqr val="0"/>
            <c:dispEq val="1"/>
            <c:trendlineLbl>
              <c:layout>
                <c:manualLayout>
                  <c:x val="-0.0872817177716267"/>
                  <c:y val="0.36709350949775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200" b="0" i="0" u="none" strike="noStrike" kern="120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>
                        <a:solidFill>
                          <a:schemeClr val="accent2"/>
                        </a:solidFill>
                      </a:rPr>
                      <a:t>y = </a:t>
                    </a:r>
                    <a:r>
                      <a:rPr lang="en-US" sz="1400" baseline="0">
                        <a:solidFill>
                          <a:schemeClr val="accent2"/>
                        </a:solidFill>
                      </a:rPr>
                      <a:t>8.773E-24x</a:t>
                    </a:r>
                    <a:endParaRPr lang="en-US" sz="1400">
                      <a:solidFill>
                        <a:schemeClr val="accent2"/>
                      </a:solidFill>
                    </a:endParaRPr>
                  </a:p>
                </c:rich>
              </c:tx>
              <c:numFmt formatCode="0.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'Bhor Magnaton'!$C$33:$C$36</c:f>
              <c:numCache>
                <c:formatCode>0.0000</c:formatCode>
                <c:ptCount val="4"/>
                <c:pt idx="0">
                  <c:v>0.228</c:v>
                </c:pt>
                <c:pt idx="1">
                  <c:v>0.253</c:v>
                </c:pt>
                <c:pt idx="2">
                  <c:v>0.269</c:v>
                </c:pt>
                <c:pt idx="3">
                  <c:v>0.285</c:v>
                </c:pt>
              </c:numCache>
            </c:numRef>
          </c:xVal>
          <c:yVal>
            <c:numRef>
              <c:f>'Bhor Magnaton'!$G$33:$G$36</c:f>
              <c:numCache>
                <c:formatCode>0.000E+00</c:formatCode>
                <c:ptCount val="4"/>
                <c:pt idx="0">
                  <c:v>1.9188916979939E-24</c:v>
                </c:pt>
                <c:pt idx="1">
                  <c:v>2.24612962894238E-24</c:v>
                </c:pt>
                <c:pt idx="2">
                  <c:v>2.51698916706874E-24</c:v>
                </c:pt>
                <c:pt idx="3">
                  <c:v>2.53082224660968E-24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06378976"/>
        <c:axId val="-1406664416"/>
      </c:scatterChart>
      <c:valAx>
        <c:axId val="-1406378976"/>
        <c:scaling>
          <c:orientation val="minMax"/>
          <c:max val="0.29"/>
          <c:min val="0.0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Magnetic Field (T)</a:t>
                </a:r>
                <a:endParaRPr lang="en-US">
                  <a:effectLst/>
                </a:endParaRPr>
              </a:p>
            </c:rich>
          </c:tx>
          <c:layout>
            <c:manualLayout>
              <c:xMode val="edge"/>
              <c:yMode val="edge"/>
              <c:x val="0.400926473354653"/>
              <c:y val="0.9102749232617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06664416"/>
        <c:crosses val="autoZero"/>
        <c:crossBetween val="midCat"/>
      </c:valAx>
      <c:valAx>
        <c:axId val="-1406664416"/>
        <c:scaling>
          <c:orientation val="minMax"/>
          <c:min val="5.00000000000003E-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Delta E(J)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06378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1</xdr:row>
      <xdr:rowOff>0</xdr:rowOff>
    </xdr:from>
    <xdr:to>
      <xdr:col>18</xdr:col>
      <xdr:colOff>428625</xdr:colOff>
      <xdr:row>25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99F13762-D36C-428B-94FC-17BE66FDA7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647699</xdr:colOff>
      <xdr:row>1</xdr:row>
      <xdr:rowOff>152400</xdr:rowOff>
    </xdr:from>
    <xdr:to>
      <xdr:col>12</xdr:col>
      <xdr:colOff>668866</xdr:colOff>
      <xdr:row>19</xdr:row>
      <xdr:rowOff>12700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762000</xdr:colOff>
      <xdr:row>1</xdr:row>
      <xdr:rowOff>152400</xdr:rowOff>
    </xdr:from>
    <xdr:to>
      <xdr:col>20</xdr:col>
      <xdr:colOff>8467</xdr:colOff>
      <xdr:row>18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558800</xdr:colOff>
      <xdr:row>22</xdr:row>
      <xdr:rowOff>50800</xdr:rowOff>
    </xdr:from>
    <xdr:to>
      <xdr:col>15</xdr:col>
      <xdr:colOff>558800</xdr:colOff>
      <xdr:row>39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241300</xdr:colOff>
      <xdr:row>22</xdr:row>
      <xdr:rowOff>165100</xdr:rowOff>
    </xdr:from>
    <xdr:to>
      <xdr:col>20</xdr:col>
      <xdr:colOff>241300</xdr:colOff>
      <xdr:row>39</xdr:row>
      <xdr:rowOff>152400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381000</xdr:colOff>
      <xdr:row>40</xdr:row>
      <xdr:rowOff>139700</xdr:rowOff>
    </xdr:from>
    <xdr:to>
      <xdr:col>15</xdr:col>
      <xdr:colOff>368300</xdr:colOff>
      <xdr:row>64</xdr:row>
      <xdr:rowOff>63500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C8" sqref="C8"/>
    </sheetView>
  </sheetViews>
  <sheetFormatPr baseColWidth="10" defaultColWidth="8.83203125" defaultRowHeight="15" x14ac:dyDescent="0.2"/>
  <cols>
    <col min="1" max="1" width="16.6640625" customWidth="1"/>
    <col min="2" max="2" width="16" customWidth="1"/>
    <col min="3" max="3" width="15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B2" s="1">
        <v>0</v>
      </c>
      <c r="C2" s="1">
        <v>0</v>
      </c>
    </row>
    <row r="3" spans="1:3" x14ac:dyDescent="0.2">
      <c r="B3" s="1">
        <v>0.5</v>
      </c>
      <c r="C3" s="1">
        <v>25.4</v>
      </c>
    </row>
    <row r="4" spans="1:3" x14ac:dyDescent="0.2">
      <c r="B4" s="1">
        <v>1</v>
      </c>
      <c r="C4" s="1">
        <v>44.4</v>
      </c>
    </row>
    <row r="5" spans="1:3" x14ac:dyDescent="0.2">
      <c r="B5" s="1">
        <v>1.5</v>
      </c>
      <c r="C5" s="1">
        <v>62</v>
      </c>
    </row>
    <row r="6" spans="1:3" x14ac:dyDescent="0.2">
      <c r="B6" s="1">
        <v>2</v>
      </c>
      <c r="C6" s="1">
        <v>82.2</v>
      </c>
    </row>
    <row r="7" spans="1:3" x14ac:dyDescent="0.2">
      <c r="B7" s="1">
        <v>2.5</v>
      </c>
      <c r="C7" s="1">
        <v>103.3</v>
      </c>
    </row>
    <row r="8" spans="1:3" x14ac:dyDescent="0.2">
      <c r="B8" s="1">
        <v>3</v>
      </c>
      <c r="C8" s="1">
        <v>122.1</v>
      </c>
    </row>
    <row r="9" spans="1:3" x14ac:dyDescent="0.2">
      <c r="B9" s="1">
        <v>3.5</v>
      </c>
      <c r="C9" s="1">
        <v>142</v>
      </c>
    </row>
    <row r="10" spans="1:3" x14ac:dyDescent="0.2">
      <c r="B10" s="1">
        <v>4</v>
      </c>
      <c r="C10" s="1">
        <v>165.2</v>
      </c>
    </row>
    <row r="11" spans="1:3" x14ac:dyDescent="0.2">
      <c r="B11" s="1">
        <v>4.5</v>
      </c>
      <c r="C11" s="1">
        <v>180.8</v>
      </c>
    </row>
    <row r="12" spans="1:3" x14ac:dyDescent="0.2">
      <c r="B12" s="1">
        <v>5</v>
      </c>
      <c r="C12" s="1">
        <v>197.5</v>
      </c>
    </row>
    <row r="13" spans="1:3" x14ac:dyDescent="0.2">
      <c r="B13" s="1">
        <v>5.5</v>
      </c>
      <c r="C13" s="1">
        <v>217</v>
      </c>
    </row>
    <row r="14" spans="1:3" x14ac:dyDescent="0.2">
      <c r="B14" s="1">
        <v>6</v>
      </c>
      <c r="C14" s="1">
        <v>228</v>
      </c>
    </row>
    <row r="15" spans="1:3" x14ac:dyDescent="0.2">
      <c r="B15" s="1">
        <v>6.5</v>
      </c>
      <c r="C15" s="1">
        <v>242</v>
      </c>
    </row>
    <row r="16" spans="1:3" x14ac:dyDescent="0.2">
      <c r="B16" s="1">
        <v>7</v>
      </c>
      <c r="C16" s="1">
        <v>253</v>
      </c>
    </row>
    <row r="17" spans="2:3" x14ac:dyDescent="0.2">
      <c r="B17" s="1">
        <v>7.5</v>
      </c>
      <c r="C17" s="1">
        <v>262</v>
      </c>
    </row>
    <row r="18" spans="2:3" x14ac:dyDescent="0.2">
      <c r="B18" s="1">
        <v>8</v>
      </c>
      <c r="C18" s="1">
        <v>269</v>
      </c>
    </row>
    <row r="19" spans="2:3" x14ac:dyDescent="0.2">
      <c r="B19" s="1">
        <v>8.5</v>
      </c>
      <c r="C19" s="1">
        <v>275</v>
      </c>
    </row>
    <row r="20" spans="2:3" x14ac:dyDescent="0.2">
      <c r="B20" s="1">
        <v>9</v>
      </c>
      <c r="C20" s="1">
        <v>285</v>
      </c>
    </row>
    <row r="21" spans="2:3" x14ac:dyDescent="0.2">
      <c r="B21" s="1"/>
      <c r="C21" s="1"/>
    </row>
    <row r="22" spans="2:3" x14ac:dyDescent="0.2">
      <c r="B22" s="1"/>
      <c r="C2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38"/>
  <sheetViews>
    <sheetView topLeftCell="A8" zoomScale="120" zoomScaleNormal="120" workbookViewId="0">
      <selection activeCell="I28" sqref="I28"/>
    </sheetView>
  </sheetViews>
  <sheetFormatPr baseColWidth="10" defaultColWidth="8.83203125" defaultRowHeight="15" x14ac:dyDescent="0.2"/>
  <cols>
    <col min="1" max="1" width="11" customWidth="1"/>
    <col min="2" max="2" width="12.5" customWidth="1"/>
    <col min="3" max="3" width="16" customWidth="1"/>
    <col min="4" max="4" width="19.33203125" customWidth="1"/>
    <col min="5" max="5" width="18.5" customWidth="1"/>
    <col min="6" max="6" width="13.1640625" customWidth="1"/>
    <col min="7" max="7" width="15.6640625" bestFit="1" customWidth="1"/>
    <col min="8" max="8" width="12.33203125" bestFit="1" customWidth="1"/>
    <col min="9" max="9" width="12.1640625" bestFit="1" customWidth="1"/>
    <col min="10" max="10" width="10" bestFit="1" customWidth="1"/>
  </cols>
  <sheetData>
    <row r="2" spans="1:10" x14ac:dyDescent="0.2">
      <c r="A2" t="s">
        <v>11</v>
      </c>
      <c r="B2">
        <v>5</v>
      </c>
    </row>
    <row r="3" spans="1:10" x14ac:dyDescent="0.2">
      <c r="A3" t="s">
        <v>12</v>
      </c>
      <c r="B3">
        <v>1.4570000000000001</v>
      </c>
    </row>
    <row r="4" spans="1:10" x14ac:dyDescent="0.2">
      <c r="A4" t="s">
        <v>13</v>
      </c>
      <c r="B4">
        <v>1</v>
      </c>
    </row>
    <row r="5" spans="1:10" x14ac:dyDescent="0.2">
      <c r="A5" t="s">
        <v>4</v>
      </c>
      <c r="B5" t="s">
        <v>5</v>
      </c>
      <c r="C5" t="s">
        <v>56</v>
      </c>
      <c r="D5" t="s">
        <v>14</v>
      </c>
      <c r="E5" t="s">
        <v>15</v>
      </c>
      <c r="F5" t="s">
        <v>16</v>
      </c>
      <c r="G5" t="s">
        <v>17</v>
      </c>
      <c r="H5" t="s">
        <v>25</v>
      </c>
      <c r="I5" t="s">
        <v>27</v>
      </c>
      <c r="J5" t="s">
        <v>26</v>
      </c>
    </row>
    <row r="6" spans="1:10" x14ac:dyDescent="0.2">
      <c r="A6" s="2">
        <v>-0.52480000000000004</v>
      </c>
      <c r="B6" s="2">
        <v>0.53449999999999998</v>
      </c>
      <c r="C6">
        <f t="shared" ref="C6:C15" si="0">(ABS(A6) + B6) / 2</f>
        <v>0.52964999999999995</v>
      </c>
      <c r="D6">
        <f>RADIANS(C6)</f>
        <v>9.2441363831879658E-3</v>
      </c>
      <c r="E6">
        <f>ASIN(($B$3/$B$4)*SIN(D6))</f>
        <v>1.34689221185335E-2</v>
      </c>
      <c r="F6">
        <v>5.3503578182931772E-3</v>
      </c>
      <c r="G6" s="8">
        <f>COS(E6)/COS(F6)-1</f>
        <v>-7.6392523433499449E-5</v>
      </c>
      <c r="H6">
        <f>-(G6*$B$24)</f>
        <v>1.3992184481698761E-25</v>
      </c>
      <c r="I6">
        <f>AVERAGE(H6:H15)</f>
        <v>1.8205069806326593E-24</v>
      </c>
      <c r="J6" s="12">
        <f>ABS(I6-B25)/B25</f>
        <v>6.0656749425074897E-3</v>
      </c>
    </row>
    <row r="7" spans="1:10" x14ac:dyDescent="0.2">
      <c r="A7" s="2">
        <v>-1.048</v>
      </c>
      <c r="B7" s="2">
        <v>1.0475000000000001</v>
      </c>
      <c r="C7">
        <f t="shared" si="0"/>
        <v>1.0477500000000002</v>
      </c>
      <c r="D7">
        <f t="shared" ref="D7:D15" si="1">RADIANS(C7)</f>
        <v>1.8286687237770591E-2</v>
      </c>
      <c r="E7">
        <f t="shared" ref="E7:E15" si="2">ASIN(($B$3/$B$4)*SIN(D7))</f>
        <v>2.6645371191075358E-2</v>
      </c>
      <c r="F7">
        <v>1.2076222779432417E-2</v>
      </c>
      <c r="G7" s="8">
        <f t="shared" ref="G7:G12" si="3">COS(E7)/COS(F7)-1</f>
        <v>-2.8207077623343402E-4</v>
      </c>
      <c r="H7">
        <f t="shared" ref="H7:H15" si="4">-(G7*$B$24)</f>
        <v>5.1664562977683293E-25</v>
      </c>
    </row>
    <row r="8" spans="1:10" x14ac:dyDescent="0.2">
      <c r="A8" s="2">
        <v>-1.3794</v>
      </c>
      <c r="B8" s="2">
        <v>1.3777999999999999</v>
      </c>
      <c r="C8">
        <f t="shared" si="0"/>
        <v>1.3786</v>
      </c>
      <c r="D8">
        <f t="shared" si="1"/>
        <v>2.4061109067993827E-2</v>
      </c>
      <c r="E8">
        <f t="shared" si="2"/>
        <v>3.506083609305282E-2</v>
      </c>
      <c r="F8">
        <v>1.6128836015868692E-2</v>
      </c>
      <c r="G8" s="8">
        <f t="shared" si="3"/>
        <v>-4.8456432425791895E-4</v>
      </c>
      <c r="H8">
        <f t="shared" si="4"/>
        <v>8.8753625532067492E-25</v>
      </c>
    </row>
    <row r="9" spans="1:10" x14ac:dyDescent="0.2">
      <c r="A9" s="2">
        <v>-1.6471</v>
      </c>
      <c r="B9" s="2">
        <v>1.6457999999999999</v>
      </c>
      <c r="C9">
        <f t="shared" si="0"/>
        <v>1.64645</v>
      </c>
      <c r="D9">
        <f t="shared" si="1"/>
        <v>2.8735973469460638E-2</v>
      </c>
      <c r="E9">
        <f t="shared" si="2"/>
        <v>4.1874788232439959E-2</v>
      </c>
      <c r="F9">
        <v>1.9362571965520894E-2</v>
      </c>
      <c r="G9" s="8">
        <f t="shared" si="3"/>
        <v>-6.8930130602429251E-4</v>
      </c>
      <c r="H9">
        <f t="shared" si="4"/>
        <v>1.262535992251091E-24</v>
      </c>
    </row>
    <row r="10" spans="1:10" x14ac:dyDescent="0.2">
      <c r="A10" s="2">
        <v>-1.8764000000000001</v>
      </c>
      <c r="B10" s="2">
        <v>1.8611</v>
      </c>
      <c r="C10">
        <f t="shared" si="0"/>
        <v>1.8687499999999999</v>
      </c>
      <c r="D10">
        <f t="shared" si="1"/>
        <v>3.261584039664403E-2</v>
      </c>
      <c r="E10">
        <f t="shared" si="2"/>
        <v>4.7530749107273139E-2</v>
      </c>
      <c r="F10">
        <v>2.2129033559018709E-2</v>
      </c>
      <c r="G10" s="8">
        <f t="shared" si="3"/>
        <v>-8.8475295930035003E-4</v>
      </c>
      <c r="H10">
        <f t="shared" si="4"/>
        <v>1.6205285636409193E-24</v>
      </c>
    </row>
    <row r="11" spans="1:10" x14ac:dyDescent="0.2">
      <c r="A11" s="2">
        <v>-2.0943000000000001</v>
      </c>
      <c r="B11" s="2">
        <v>2.0663</v>
      </c>
      <c r="C11">
        <f t="shared" si="0"/>
        <v>2.0803000000000003</v>
      </c>
      <c r="D11">
        <f t="shared" si="1"/>
        <v>3.6308084429238045E-2</v>
      </c>
      <c r="E11">
        <f t="shared" si="2"/>
        <v>5.2913945486897949E-2</v>
      </c>
      <c r="F11">
        <v>2.4612699471291792E-2</v>
      </c>
      <c r="G11" s="8">
        <f t="shared" si="3"/>
        <v>-1.0970712845769226E-3</v>
      </c>
      <c r="H11">
        <f t="shared" si="4"/>
        <v>2.0094144182496154E-24</v>
      </c>
    </row>
    <row r="12" spans="1:10" x14ac:dyDescent="0.2">
      <c r="A12" s="2">
        <f>--2.2796</f>
        <v>2.2795999999999998</v>
      </c>
      <c r="B12" s="2">
        <v>2.2521</v>
      </c>
      <c r="C12">
        <f t="shared" si="0"/>
        <v>2.2658499999999999</v>
      </c>
      <c r="D12">
        <f t="shared" si="1"/>
        <v>3.9546542856313517E-2</v>
      </c>
      <c r="E12">
        <f t="shared" si="2"/>
        <v>5.7636200649571812E-2</v>
      </c>
      <c r="F12">
        <v>2.685611542747814E-2</v>
      </c>
      <c r="G12" s="8">
        <f t="shared" si="3"/>
        <v>-1.3003711877878077E-3</v>
      </c>
      <c r="H12">
        <f t="shared" si="4"/>
        <v>2.3817819776632632E-24</v>
      </c>
    </row>
    <row r="13" spans="1:10" x14ac:dyDescent="0.2">
      <c r="A13" s="2">
        <v>-2.4521999999999999</v>
      </c>
      <c r="B13" s="2">
        <v>2.4247999999999998</v>
      </c>
      <c r="C13">
        <f t="shared" si="0"/>
        <v>2.4384999999999999</v>
      </c>
      <c r="D13">
        <f t="shared" si="1"/>
        <v>4.2559853809881726E-2</v>
      </c>
      <c r="E13">
        <f t="shared" si="2"/>
        <v>6.2030761407354106E-2</v>
      </c>
      <c r="F13">
        <v>2.8881465887362644E-2</v>
      </c>
      <c r="G13" s="8">
        <f>COS(E13)/COS(F13)-1</f>
        <v>-1.5068787400370764E-3</v>
      </c>
      <c r="H13">
        <f t="shared" si="4"/>
        <v>2.7600247215950237E-24</v>
      </c>
    </row>
    <row r="14" spans="1:10" x14ac:dyDescent="0.2">
      <c r="A14">
        <v>-2.6111</v>
      </c>
      <c r="B14">
        <v>2.5823999999999998</v>
      </c>
      <c r="C14">
        <f t="shared" si="0"/>
        <v>2.5967500000000001</v>
      </c>
      <c r="D14">
        <f t="shared" si="1"/>
        <v>4.5321837351162755E-2</v>
      </c>
      <c r="E14">
        <f t="shared" si="2"/>
        <v>6.6059347866514823E-2</v>
      </c>
      <c r="F14">
        <v>3.0798930405404979E-2</v>
      </c>
      <c r="G14" s="8">
        <f t="shared" ref="G14:G15" si="5">COS(E14)/COS(F14)-1</f>
        <v>-1.70768567645041E-3</v>
      </c>
      <c r="H14">
        <f t="shared" si="4"/>
        <v>3.1278261206345534E-24</v>
      </c>
    </row>
    <row r="15" spans="1:10" x14ac:dyDescent="0.2">
      <c r="A15" s="2">
        <v>-2.7629999999999999</v>
      </c>
      <c r="B15">
        <v>2.7332999999999998</v>
      </c>
      <c r="C15">
        <f t="shared" si="0"/>
        <v>2.7481499999999999</v>
      </c>
      <c r="D15">
        <f t="shared" si="1"/>
        <v>4.7964265838682164E-2</v>
      </c>
      <c r="E15">
        <f t="shared" si="2"/>
        <v>6.9914085434647943E-2</v>
      </c>
      <c r="F15">
        <v>3.2674366439167636E-2</v>
      </c>
      <c r="G15" s="8">
        <f t="shared" si="5"/>
        <v>-1.9102543145177453E-3</v>
      </c>
      <c r="H15">
        <f t="shared" si="4"/>
        <v>3.4988542823776299E-24</v>
      </c>
    </row>
    <row r="19" spans="1:10" x14ac:dyDescent="0.2">
      <c r="A19" t="s">
        <v>24</v>
      </c>
      <c r="B19">
        <f>9.274009994*10^(-24)</f>
        <v>9.2740099940000005E-24</v>
      </c>
    </row>
    <row r="20" spans="1:10" x14ac:dyDescent="0.2">
      <c r="A20" t="s">
        <v>22</v>
      </c>
      <c r="B20">
        <f>1.60217662*10^(-19)</f>
        <v>1.6021766200000001E-19</v>
      </c>
    </row>
    <row r="21" spans="1:10" x14ac:dyDescent="0.2">
      <c r="A21" t="s">
        <v>20</v>
      </c>
      <c r="B21">
        <f>9.10938356*10^(-31)</f>
        <v>9.1093835599999998E-31</v>
      </c>
    </row>
    <row r="22" spans="1:10" x14ac:dyDescent="0.2">
      <c r="A22" t="s">
        <v>21</v>
      </c>
      <c r="B22">
        <f>6.62607015*10^(-31)</f>
        <v>6.6260701500000011E-31</v>
      </c>
    </row>
    <row r="23" spans="1:10" x14ac:dyDescent="0.2">
      <c r="A23" t="s">
        <v>19</v>
      </c>
      <c r="B23" s="2">
        <v>0.19750000000000001</v>
      </c>
    </row>
    <row r="24" spans="1:10" x14ac:dyDescent="0.2">
      <c r="A24" t="s">
        <v>18</v>
      </c>
      <c r="B24">
        <f>(B22/(4*PI()))*(B20/B21)*B23</f>
        <v>1.8316170029229517E-21</v>
      </c>
    </row>
    <row r="25" spans="1:10" x14ac:dyDescent="0.2">
      <c r="A25" t="s">
        <v>23</v>
      </c>
      <c r="B25">
        <f>B19*B23</f>
        <v>1.8316169738150003E-24</v>
      </c>
    </row>
    <row r="28" spans="1:10" x14ac:dyDescent="0.2">
      <c r="A28" t="s">
        <v>11</v>
      </c>
      <c r="B28">
        <v>1</v>
      </c>
    </row>
    <row r="29" spans="1:10" x14ac:dyDescent="0.2">
      <c r="A29" t="s">
        <v>12</v>
      </c>
      <c r="B29">
        <v>1.4570000000000001</v>
      </c>
    </row>
    <row r="30" spans="1:10" x14ac:dyDescent="0.2">
      <c r="A30" t="s">
        <v>13</v>
      </c>
      <c r="B30">
        <v>1</v>
      </c>
    </row>
    <row r="31" spans="1:10" x14ac:dyDescent="0.2">
      <c r="A31" t="s">
        <v>4</v>
      </c>
      <c r="B31" t="s">
        <v>5</v>
      </c>
      <c r="C31" t="s">
        <v>56</v>
      </c>
      <c r="D31" t="s">
        <v>14</v>
      </c>
      <c r="E31" t="s">
        <v>15</v>
      </c>
      <c r="F31" t="s">
        <v>16</v>
      </c>
      <c r="G31" t="s">
        <v>17</v>
      </c>
      <c r="H31" t="s">
        <v>25</v>
      </c>
      <c r="I31" t="s">
        <v>27</v>
      </c>
      <c r="J31" t="s">
        <v>26</v>
      </c>
    </row>
    <row r="32" spans="1:10" x14ac:dyDescent="0.2">
      <c r="A32" s="2">
        <v>-0.48280000000000001</v>
      </c>
      <c r="B32" s="2">
        <v>0.46129999999999999</v>
      </c>
      <c r="C32">
        <f t="shared" ref="C32:C41" si="6">(ABS(A32) + B32) / 2</f>
        <v>0.47204999999999997</v>
      </c>
      <c r="D32">
        <f>RADIANS(C32)</f>
        <v>8.2388267340392316E-3</v>
      </c>
      <c r="E32">
        <f>ASIN(($B$3/$B$4)*SIN(D32))</f>
        <v>1.2004123045389245E-2</v>
      </c>
      <c r="F32">
        <v>5.3503578182931772E-3</v>
      </c>
      <c r="G32" s="8">
        <f>COS(E32)/COS(F32)-1</f>
        <v>-5.773631600047846E-5</v>
      </c>
      <c r="H32">
        <f>-(G32*$B$50)</f>
        <v>2.377385479708269E-26</v>
      </c>
      <c r="I32">
        <f>AVERAGE(H32:H41)</f>
        <v>4.0274395464753534E-25</v>
      </c>
      <c r="J32" s="12">
        <f>ABS(I32-B51)/B51</f>
        <v>2.1910716591049689E-2</v>
      </c>
    </row>
    <row r="33" spans="1:8" x14ac:dyDescent="0.2">
      <c r="A33" s="2">
        <v>-1.0289999999999999</v>
      </c>
      <c r="B33" s="2">
        <v>1.0054000000000001</v>
      </c>
      <c r="C33">
        <f t="shared" si="6"/>
        <v>1.0171999999999999</v>
      </c>
      <c r="D33">
        <f t="shared" ref="D33:D41" si="7">RADIANS(C33)</f>
        <v>1.7753489151286318E-2</v>
      </c>
      <c r="E33">
        <f t="shared" ref="E33:E41" si="8">ASIN(($B$3/$B$4)*SIN(D33))</f>
        <v>2.5868359869910824E-2</v>
      </c>
      <c r="F33">
        <v>1.2076222779432417E-2</v>
      </c>
      <c r="G33" s="8">
        <f t="shared" ref="G33:G38" si="9">COS(E33)/COS(F33)-1</f>
        <v>-2.6166975156949324E-4</v>
      </c>
      <c r="H33">
        <f t="shared" ref="H33:H41" si="10">-(G33*$B$50)</f>
        <v>1.0774672008082885E-25</v>
      </c>
    </row>
    <row r="34" spans="1:8" x14ac:dyDescent="0.2">
      <c r="A34" s="2">
        <v>-1.3758999999999999</v>
      </c>
      <c r="B34" s="2">
        <v>1.3478000000000001</v>
      </c>
      <c r="C34">
        <f t="shared" si="6"/>
        <v>1.36185</v>
      </c>
      <c r="D34">
        <f t="shared" si="7"/>
        <v>2.3768766418284779E-2</v>
      </c>
      <c r="E34">
        <f t="shared" si="8"/>
        <v>3.4634755965504839E-2</v>
      </c>
      <c r="F34">
        <v>1.6128836015868692E-2</v>
      </c>
      <c r="G34" s="8">
        <f t="shared" si="9"/>
        <v>-4.6971744487256384E-4</v>
      </c>
      <c r="H34">
        <f t="shared" si="10"/>
        <v>1.9341369702155027E-25</v>
      </c>
    </row>
    <row r="35" spans="1:8" x14ac:dyDescent="0.2">
      <c r="A35" s="2">
        <v>-1.6469</v>
      </c>
      <c r="B35" s="2">
        <v>1.617</v>
      </c>
      <c r="C35">
        <f t="shared" si="6"/>
        <v>1.63195</v>
      </c>
      <c r="D35">
        <f t="shared" si="7"/>
        <v>2.8482900727921461E-2</v>
      </c>
      <c r="E35">
        <f t="shared" si="8"/>
        <v>4.1505891597797377E-2</v>
      </c>
      <c r="F35">
        <v>1.9362571965520894E-2</v>
      </c>
      <c r="G35" s="8">
        <f t="shared" si="9"/>
        <v>-6.7392345219674521E-4</v>
      </c>
      <c r="H35">
        <f t="shared" si="10"/>
        <v>2.7749879810033856E-25</v>
      </c>
    </row>
    <row r="36" spans="1:8" x14ac:dyDescent="0.2">
      <c r="A36" s="2">
        <v>-1.8792</v>
      </c>
      <c r="B36" s="2">
        <v>1.8455999999999999</v>
      </c>
      <c r="C36">
        <f t="shared" si="6"/>
        <v>1.8624000000000001</v>
      </c>
      <c r="D36">
        <f t="shared" si="7"/>
        <v>3.2505011989142393E-2</v>
      </c>
      <c r="E36">
        <f t="shared" si="8"/>
        <v>4.7369175850451521E-2</v>
      </c>
      <c r="F36">
        <v>2.2129033559018709E-2</v>
      </c>
      <c r="G36" s="8">
        <f t="shared" si="9"/>
        <v>-8.7708731408409069E-4</v>
      </c>
      <c r="H36">
        <f t="shared" si="10"/>
        <v>3.6115477906878634E-25</v>
      </c>
    </row>
    <row r="37" spans="1:8" x14ac:dyDescent="0.2">
      <c r="A37" s="2">
        <v>-2.0853999999999999</v>
      </c>
      <c r="B37" s="2">
        <v>2.0516000000000001</v>
      </c>
      <c r="C37">
        <f t="shared" si="6"/>
        <v>2.0685000000000002</v>
      </c>
      <c r="D37">
        <f t="shared" si="7"/>
        <v>3.6102135577502713E-2</v>
      </c>
      <c r="E37">
        <f t="shared" si="8"/>
        <v>5.2613656745796669E-2</v>
      </c>
      <c r="F37">
        <v>2.4612699471291792E-2</v>
      </c>
      <c r="G37" s="8">
        <f t="shared" si="9"/>
        <v>-1.0812294619130247E-3</v>
      </c>
      <c r="H37">
        <f t="shared" si="10"/>
        <v>4.4521358497544396E-25</v>
      </c>
    </row>
    <row r="38" spans="1:8" x14ac:dyDescent="0.2">
      <c r="A38" s="2">
        <v>-2.2734000000000001</v>
      </c>
      <c r="B38" s="2">
        <v>2.2382</v>
      </c>
      <c r="C38">
        <f t="shared" si="6"/>
        <v>2.2557999999999998</v>
      </c>
      <c r="D38">
        <f t="shared" si="7"/>
        <v>3.9371137266488082E-2</v>
      </c>
      <c r="E38">
        <f t="shared" si="8"/>
        <v>5.7380410778869712E-2</v>
      </c>
      <c r="F38">
        <v>2.685611542747814E-2</v>
      </c>
      <c r="G38" s="8">
        <f t="shared" si="9"/>
        <v>-1.2856639491063415E-3</v>
      </c>
      <c r="H38">
        <f t="shared" si="10"/>
        <v>5.2939276630751396E-25</v>
      </c>
    </row>
    <row r="39" spans="1:8" x14ac:dyDescent="0.2">
      <c r="A39" s="2">
        <v>-2.4441999999999999</v>
      </c>
      <c r="B39" s="2">
        <v>2.4087000000000001</v>
      </c>
      <c r="C39">
        <f t="shared" si="6"/>
        <v>2.42645</v>
      </c>
      <c r="D39">
        <f t="shared" si="7"/>
        <v>4.2349541635016412E-2</v>
      </c>
      <c r="E39">
        <f t="shared" si="8"/>
        <v>6.1724025647321594E-2</v>
      </c>
      <c r="F39">
        <v>2.8881465887362644E-2</v>
      </c>
      <c r="G39" s="8">
        <f>COS(E39)/COS(F39)-1</f>
        <v>-1.487902926590956E-3</v>
      </c>
      <c r="H39">
        <f t="shared" si="10"/>
        <v>6.126679112784861E-25</v>
      </c>
    </row>
    <row r="40" spans="1:8" x14ac:dyDescent="0.2">
      <c r="A40" s="2">
        <v>-2.6063000000000001</v>
      </c>
      <c r="B40" s="2">
        <v>2.5709</v>
      </c>
      <c r="C40">
        <f t="shared" si="6"/>
        <v>2.5886</v>
      </c>
      <c r="D40">
        <f t="shared" si="7"/>
        <v>4.5179593017125215E-2</v>
      </c>
      <c r="E40">
        <f t="shared" si="8"/>
        <v>6.5851858881130987E-2</v>
      </c>
      <c r="F40">
        <v>3.0798930405404979E-2</v>
      </c>
      <c r="G40" s="8">
        <f t="shared" ref="G40:G41" si="11">COS(E40)/COS(F40)-1</f>
        <v>-1.694004046578157E-3</v>
      </c>
      <c r="H40">
        <f t="shared" si="10"/>
        <v>6.975333554133566E-25</v>
      </c>
    </row>
    <row r="41" spans="1:8" x14ac:dyDescent="0.2">
      <c r="A41" s="2">
        <v>-2.7553999999999998</v>
      </c>
      <c r="B41" s="2">
        <v>2.7202999999999999</v>
      </c>
      <c r="C41">
        <f t="shared" si="6"/>
        <v>2.7378499999999999</v>
      </c>
      <c r="D41">
        <f t="shared" si="7"/>
        <v>4.7784496925726748E-2</v>
      </c>
      <c r="E41">
        <f t="shared" si="8"/>
        <v>6.9651823925947959E-2</v>
      </c>
      <c r="F41">
        <v>3.2674366439167636E-2</v>
      </c>
      <c r="G41" s="8">
        <f t="shared" si="11"/>
        <v>-1.8919580157402693E-3</v>
      </c>
      <c r="H41">
        <f t="shared" si="10"/>
        <v>7.7904407943196632E-25</v>
      </c>
    </row>
    <row r="45" spans="1:8" x14ac:dyDescent="0.2">
      <c r="A45" t="s">
        <v>24</v>
      </c>
      <c r="B45">
        <f>9.274009994*10^(-24)</f>
        <v>9.2740099940000005E-24</v>
      </c>
    </row>
    <row r="46" spans="1:8" x14ac:dyDescent="0.2">
      <c r="A46" t="s">
        <v>22</v>
      </c>
      <c r="B46">
        <f>1.60217662*10^(-19)</f>
        <v>1.6021766200000001E-19</v>
      </c>
    </row>
    <row r="47" spans="1:8" x14ac:dyDescent="0.2">
      <c r="A47" t="s">
        <v>20</v>
      </c>
      <c r="B47">
        <f>9.10938356*10^(-31)</f>
        <v>9.1093835599999998E-31</v>
      </c>
    </row>
    <row r="48" spans="1:8" x14ac:dyDescent="0.2">
      <c r="A48" t="s">
        <v>21</v>
      </c>
      <c r="B48">
        <f>6.62607015*10^(-31)</f>
        <v>6.6260701500000011E-31</v>
      </c>
    </row>
    <row r="49" spans="1:10" x14ac:dyDescent="0.2">
      <c r="A49" t="s">
        <v>19</v>
      </c>
      <c r="B49" s="2">
        <v>4.4400000000000002E-2</v>
      </c>
    </row>
    <row r="50" spans="1:10" x14ac:dyDescent="0.2">
      <c r="A50" t="s">
        <v>18</v>
      </c>
      <c r="B50">
        <f>(B48/(4*PI()))*(B46/B47)*B49</f>
        <v>4.117660502773623E-22</v>
      </c>
    </row>
    <row r="51" spans="1:10" x14ac:dyDescent="0.2">
      <c r="A51" t="s">
        <v>23</v>
      </c>
      <c r="B51">
        <f>B45*B49</f>
        <v>4.1176604373360003E-25</v>
      </c>
    </row>
    <row r="54" spans="1:10" x14ac:dyDescent="0.2">
      <c r="A54" t="s">
        <v>11</v>
      </c>
      <c r="B54">
        <v>2</v>
      </c>
    </row>
    <row r="55" spans="1:10" x14ac:dyDescent="0.2">
      <c r="A55" t="s">
        <v>12</v>
      </c>
      <c r="B55">
        <v>1.4570000000000001</v>
      </c>
    </row>
    <row r="56" spans="1:10" x14ac:dyDescent="0.2">
      <c r="A56" t="s">
        <v>13</v>
      </c>
      <c r="B56">
        <v>1</v>
      </c>
    </row>
    <row r="57" spans="1:10" x14ac:dyDescent="0.2">
      <c r="A57" t="s">
        <v>4</v>
      </c>
      <c r="B57" t="s">
        <v>5</v>
      </c>
      <c r="C57" t="s">
        <v>56</v>
      </c>
      <c r="D57" t="s">
        <v>14</v>
      </c>
      <c r="E57" t="s">
        <v>15</v>
      </c>
      <c r="F57" t="s">
        <v>16</v>
      </c>
      <c r="G57" t="s">
        <v>17</v>
      </c>
      <c r="H57" t="s">
        <v>25</v>
      </c>
      <c r="I57" t="s">
        <v>27</v>
      </c>
      <c r="J57" t="s">
        <v>26</v>
      </c>
    </row>
    <row r="58" spans="1:10" x14ac:dyDescent="0.2">
      <c r="A58" s="2">
        <v>-0.49980000000000002</v>
      </c>
      <c r="B58" s="2">
        <v>0.46710000000000002</v>
      </c>
      <c r="C58">
        <f t="shared" ref="C58:C67" si="12">(ABS(A58) + B58) / 2</f>
        <v>0.48345000000000005</v>
      </c>
      <c r="D58">
        <f>RADIANS(C58)</f>
        <v>8.4377942687665873E-3</v>
      </c>
      <c r="E58">
        <f>ASIN(($B$3/$B$4)*SIN(D58))</f>
        <v>1.229403006111557E-2</v>
      </c>
      <c r="F58">
        <v>5.3503578182931772E-3</v>
      </c>
      <c r="G58" s="8">
        <f>COS(E58)/COS(F58)-1</f>
        <v>-6.1258382284212765E-5</v>
      </c>
      <c r="H58">
        <f>-(G58*$B$76)</f>
        <v>4.6698712572682315E-26</v>
      </c>
      <c r="I58">
        <f>AVERAGE(H58:H67)</f>
        <v>7.4749649245963639E-25</v>
      </c>
      <c r="J58" s="12">
        <f>ABS(I58-B77)/B77</f>
        <v>1.9449914221281082E-2</v>
      </c>
    </row>
    <row r="59" spans="1:10" x14ac:dyDescent="0.2">
      <c r="A59" s="2">
        <v>-1.0379</v>
      </c>
      <c r="B59" s="2">
        <v>1.0084</v>
      </c>
      <c r="C59">
        <f t="shared" si="12"/>
        <v>1.02315</v>
      </c>
      <c r="D59">
        <f t="shared" ref="D59:D67" si="13">RADIANS(C59)</f>
        <v>1.7857336241779983E-2</v>
      </c>
      <c r="E59">
        <f t="shared" ref="E59:E67" si="14">ASIN(($B$3/$B$4)*SIN(D59))</f>
        <v>2.6019692024529886E-2</v>
      </c>
      <c r="F59">
        <v>1.2076222779432417E-2</v>
      </c>
      <c r="G59" s="8">
        <f t="shared" ref="G59:G64" si="15">COS(E59)/COS(F59)-1</f>
        <v>-2.6559576275309027E-4</v>
      </c>
      <c r="H59">
        <f t="shared" ref="H59:H67" si="16">-(G59*$B$76)</f>
        <v>2.02469926936437E-25</v>
      </c>
    </row>
    <row r="60" spans="1:10" x14ac:dyDescent="0.2">
      <c r="A60" s="2">
        <v>-1.3783000000000001</v>
      </c>
      <c r="B60" s="2">
        <v>1.3483000000000001</v>
      </c>
      <c r="C60">
        <f t="shared" si="12"/>
        <v>1.3633000000000002</v>
      </c>
      <c r="D60">
        <f t="shared" si="13"/>
        <v>2.3794073692438699E-2</v>
      </c>
      <c r="E60">
        <f t="shared" si="14"/>
        <v>3.4671640381654274E-2</v>
      </c>
      <c r="F60">
        <v>1.6128836015868692E-2</v>
      </c>
      <c r="G60" s="8">
        <f t="shared" si="15"/>
        <v>-4.7099551829288266E-4</v>
      </c>
      <c r="H60">
        <f t="shared" si="16"/>
        <v>3.5905101492452053E-25</v>
      </c>
    </row>
    <row r="61" spans="1:10" x14ac:dyDescent="0.2">
      <c r="A61" s="2">
        <v>-1.6497999999999999</v>
      </c>
      <c r="B61" s="2">
        <v>1.6186</v>
      </c>
      <c r="C61">
        <f t="shared" si="12"/>
        <v>1.6341999999999999</v>
      </c>
      <c r="D61">
        <f t="shared" si="13"/>
        <v>2.8522170636091332E-2</v>
      </c>
      <c r="E61">
        <f t="shared" si="14"/>
        <v>4.1563133982263183E-2</v>
      </c>
      <c r="F61">
        <v>1.9362571965520894E-2</v>
      </c>
      <c r="G61" s="8">
        <f t="shared" si="15"/>
        <v>-6.7630074883939795E-4</v>
      </c>
      <c r="H61">
        <f t="shared" si="16"/>
        <v>5.1556004427626103E-25</v>
      </c>
    </row>
    <row r="62" spans="1:10" x14ac:dyDescent="0.2">
      <c r="A62" s="2">
        <v>-1.8821000000000001</v>
      </c>
      <c r="B62" s="2">
        <v>1.8474999999999999</v>
      </c>
      <c r="C62">
        <f t="shared" si="12"/>
        <v>1.8648</v>
      </c>
      <c r="D62">
        <f t="shared" si="13"/>
        <v>3.2546899891190258E-2</v>
      </c>
      <c r="E62">
        <f t="shared" si="14"/>
        <v>4.7430242830998212E-2</v>
      </c>
      <c r="F62">
        <v>2.2129033559018709E-2</v>
      </c>
      <c r="G62" s="8">
        <f t="shared" si="15"/>
        <v>-8.7998149605406084E-4</v>
      </c>
      <c r="H62">
        <f t="shared" si="16"/>
        <v>6.7083069159170601E-25</v>
      </c>
    </row>
    <row r="63" spans="1:10" x14ac:dyDescent="0.2">
      <c r="A63" s="2">
        <v>-2.0865</v>
      </c>
      <c r="B63" s="2">
        <v>2.0537999999999998</v>
      </c>
      <c r="C63">
        <f t="shared" si="12"/>
        <v>2.0701499999999999</v>
      </c>
      <c r="D63">
        <f t="shared" si="13"/>
        <v>3.6130933510160612E-2</v>
      </c>
      <c r="E63">
        <f t="shared" si="14"/>
        <v>5.2655646121572593E-2</v>
      </c>
      <c r="F63">
        <v>2.4612699471291792E-2</v>
      </c>
      <c r="G63" s="8">
        <f t="shared" si="15"/>
        <v>-1.0834392070160348E-3</v>
      </c>
      <c r="H63">
        <f t="shared" si="16"/>
        <v>8.2593131310057189E-25</v>
      </c>
    </row>
    <row r="64" spans="1:10" x14ac:dyDescent="0.2">
      <c r="A64" s="2">
        <v>-2.2742</v>
      </c>
      <c r="B64" s="2">
        <v>2.2403</v>
      </c>
      <c r="C64">
        <f t="shared" si="12"/>
        <v>2.25725</v>
      </c>
      <c r="D64">
        <f t="shared" si="13"/>
        <v>3.9396444540642006E-2</v>
      </c>
      <c r="E64">
        <f t="shared" si="14"/>
        <v>5.741731566197053E-2</v>
      </c>
      <c r="F64">
        <v>2.685611542747814E-2</v>
      </c>
      <c r="G64" s="8">
        <f t="shared" si="15"/>
        <v>-1.287781848189451E-3</v>
      </c>
      <c r="H64">
        <f t="shared" si="16"/>
        <v>9.817065378237259E-25</v>
      </c>
    </row>
    <row r="65" spans="1:8" x14ac:dyDescent="0.2">
      <c r="A65" s="2">
        <v>-2.4460000000000002</v>
      </c>
      <c r="B65" s="2">
        <v>2.4123999999999999</v>
      </c>
      <c r="C65">
        <f t="shared" si="12"/>
        <v>2.4291999999999998</v>
      </c>
      <c r="D65">
        <f t="shared" si="13"/>
        <v>4.2397538189446249E-2</v>
      </c>
      <c r="E65">
        <f t="shared" si="14"/>
        <v>6.1794027312354616E-2</v>
      </c>
      <c r="F65">
        <v>2.8881465887362644E-2</v>
      </c>
      <c r="G65" s="8">
        <f>COS(E65)/COS(F65)-1</f>
        <v>-1.4922252161045924E-3</v>
      </c>
      <c r="H65">
        <f t="shared" si="16"/>
        <v>1.1375585489226347E-24</v>
      </c>
    </row>
    <row r="66" spans="1:8" x14ac:dyDescent="0.2">
      <c r="A66" s="2">
        <v>-2.6052</v>
      </c>
      <c r="B66" s="2">
        <v>2.5718000000000001</v>
      </c>
      <c r="C66">
        <f t="shared" si="12"/>
        <v>2.5884999999999998</v>
      </c>
      <c r="D66">
        <f t="shared" si="13"/>
        <v>4.5177847687873217E-2</v>
      </c>
      <c r="E66">
        <f t="shared" si="14"/>
        <v>6.5849313013364566E-2</v>
      </c>
      <c r="F66">
        <v>3.0798930405404979E-2</v>
      </c>
      <c r="G66" s="8">
        <f t="shared" ref="G66:G67" si="17">COS(E66)/COS(F66)-1</f>
        <v>-1.6938364413421336E-3</v>
      </c>
      <c r="H66">
        <f t="shared" si="16"/>
        <v>1.2912515507246208E-24</v>
      </c>
    </row>
    <row r="67" spans="1:8" x14ac:dyDescent="0.2">
      <c r="A67" s="2">
        <v>-2.7551000000000001</v>
      </c>
      <c r="B67" s="2">
        <v>2.7229999999999999</v>
      </c>
      <c r="C67">
        <f t="shared" si="12"/>
        <v>2.7390499999999998</v>
      </c>
      <c r="D67">
        <f t="shared" si="13"/>
        <v>4.7805440876750677E-2</v>
      </c>
      <c r="E67">
        <f t="shared" si="14"/>
        <v>6.9682378533717684E-2</v>
      </c>
      <c r="F67">
        <v>3.2674366439167636E-2</v>
      </c>
      <c r="G67" s="8">
        <f t="shared" si="17"/>
        <v>-1.8940860810828797E-3</v>
      </c>
      <c r="H67">
        <f t="shared" si="16"/>
        <v>1.4439065837232033E-24</v>
      </c>
    </row>
    <row r="71" spans="1:8" x14ac:dyDescent="0.2">
      <c r="A71" t="s">
        <v>24</v>
      </c>
      <c r="B71">
        <f>9.274009994*10^(-24)</f>
        <v>9.2740099940000005E-24</v>
      </c>
    </row>
    <row r="72" spans="1:8" x14ac:dyDescent="0.2">
      <c r="A72" t="s">
        <v>22</v>
      </c>
      <c r="B72">
        <f>1.60217662*10^(-19)</f>
        <v>1.6021766200000001E-19</v>
      </c>
    </row>
    <row r="73" spans="1:8" x14ac:dyDescent="0.2">
      <c r="A73" t="s">
        <v>20</v>
      </c>
      <c r="B73">
        <f>9.10938356*10^(-31)</f>
        <v>9.1093835599999998E-31</v>
      </c>
    </row>
    <row r="74" spans="1:8" x14ac:dyDescent="0.2">
      <c r="A74" t="s">
        <v>21</v>
      </c>
      <c r="B74">
        <f>6.62607015*10^(-31)</f>
        <v>6.6260701500000011E-31</v>
      </c>
    </row>
    <row r="75" spans="1:8" x14ac:dyDescent="0.2">
      <c r="A75" t="s">
        <v>19</v>
      </c>
      <c r="B75" s="2">
        <v>8.2199999999999995E-2</v>
      </c>
    </row>
    <row r="76" spans="1:8" x14ac:dyDescent="0.2">
      <c r="A76" t="s">
        <v>18</v>
      </c>
      <c r="B76">
        <f>(B74/(4*PI()))*(B72/B73)*B75</f>
        <v>7.623236336216031E-22</v>
      </c>
    </row>
    <row r="77" spans="1:8" x14ac:dyDescent="0.2">
      <c r="A77" t="s">
        <v>23</v>
      </c>
      <c r="B77">
        <f>B71*B75</f>
        <v>7.6232362150679999E-25</v>
      </c>
    </row>
    <row r="81" spans="1:10" x14ac:dyDescent="0.2">
      <c r="A81" t="s">
        <v>11</v>
      </c>
      <c r="B81">
        <v>3</v>
      </c>
    </row>
    <row r="82" spans="1:10" x14ac:dyDescent="0.2">
      <c r="A82" t="s">
        <v>12</v>
      </c>
      <c r="B82">
        <v>1.4570000000000001</v>
      </c>
    </row>
    <row r="83" spans="1:10" x14ac:dyDescent="0.2">
      <c r="A83" t="s">
        <v>13</v>
      </c>
      <c r="B83">
        <v>1</v>
      </c>
    </row>
    <row r="84" spans="1:10" x14ac:dyDescent="0.2">
      <c r="A84" t="s">
        <v>4</v>
      </c>
      <c r="B84" t="s">
        <v>5</v>
      </c>
      <c r="C84" t="s">
        <v>56</v>
      </c>
      <c r="D84" t="s">
        <v>14</v>
      </c>
      <c r="E84" t="s">
        <v>15</v>
      </c>
      <c r="F84" t="s">
        <v>16</v>
      </c>
      <c r="G84" t="s">
        <v>17</v>
      </c>
      <c r="H84" t="s">
        <v>25</v>
      </c>
      <c r="I84" t="s">
        <v>27</v>
      </c>
      <c r="J84" t="s">
        <v>26</v>
      </c>
    </row>
    <row r="85" spans="1:10" x14ac:dyDescent="0.2">
      <c r="A85" s="2">
        <v>-0.51619999999999999</v>
      </c>
      <c r="B85" s="2">
        <v>0.48449999999999999</v>
      </c>
      <c r="C85">
        <f t="shared" ref="C85:C94" si="18">(ABS(A85) + B85) / 2</f>
        <v>0.50034999999999996</v>
      </c>
      <c r="D85">
        <f>RADIANS(C85)</f>
        <v>8.7327549123536272E-3</v>
      </c>
      <c r="E85">
        <f>ASIN(($B$3/$B$4)*SIN(D85))</f>
        <v>1.2723805506301127E-2</v>
      </c>
      <c r="F85">
        <v>5.3503578182931798E-3</v>
      </c>
      <c r="G85" s="8">
        <f>COS(E85)/COS(F85)-1</f>
        <v>-6.6634344699556536E-5</v>
      </c>
      <c r="H85">
        <f>-(G85*$B$103)</f>
        <v>7.5453842556830888E-26</v>
      </c>
      <c r="I85">
        <f>AVERAGE(H85:H94)</f>
        <v>1.1179210899513464E-24</v>
      </c>
      <c r="J85" s="12">
        <f>ABS(I85-B104)/B104</f>
        <v>1.274821911903049E-2</v>
      </c>
    </row>
    <row r="86" spans="1:10" x14ac:dyDescent="0.2">
      <c r="A86" s="2">
        <v>-1.0450999999999999</v>
      </c>
      <c r="B86" s="2">
        <v>1.0145999999999999</v>
      </c>
      <c r="C86">
        <f t="shared" si="18"/>
        <v>1.0298499999999999</v>
      </c>
      <c r="D86">
        <f t="shared" ref="D86:D94" si="19">RADIANS(C86)</f>
        <v>1.7974273301663603E-2</v>
      </c>
      <c r="E86">
        <f t="shared" ref="E86:E94" si="20">ASIN(($B$3/$B$4)*SIN(D86))</f>
        <v>2.619010003840622E-2</v>
      </c>
      <c r="F86">
        <v>1.2076222779432417E-2</v>
      </c>
      <c r="G86" s="8">
        <f t="shared" ref="G86:G91" si="21">COS(E86)/COS(F86)-1</f>
        <v>-2.700440653574665E-4</v>
      </c>
      <c r="H86">
        <f t="shared" ref="H86:H94" si="22">-(G86*$B$103)</f>
        <v>3.057861900309861E-25</v>
      </c>
    </row>
    <row r="87" spans="1:10" x14ac:dyDescent="0.2">
      <c r="A87" s="2">
        <v>-1.3845000000000001</v>
      </c>
      <c r="B87" s="2">
        <v>1.3522000000000001</v>
      </c>
      <c r="C87">
        <f t="shared" si="18"/>
        <v>1.36835</v>
      </c>
      <c r="D87">
        <f t="shared" si="19"/>
        <v>2.3882212819664409E-2</v>
      </c>
      <c r="E87">
        <f t="shared" si="20"/>
        <v>3.4800100095089187E-2</v>
      </c>
      <c r="F87">
        <v>1.6128836015868692E-2</v>
      </c>
      <c r="G87" s="8">
        <f t="shared" si="21"/>
        <v>-4.7545736129250837E-4</v>
      </c>
      <c r="H87">
        <f t="shared" si="22"/>
        <v>5.3838729927046075E-25</v>
      </c>
    </row>
    <row r="88" spans="1:10" x14ac:dyDescent="0.2">
      <c r="A88" s="2">
        <v>-1.6534</v>
      </c>
      <c r="B88" s="2">
        <v>1.6224000000000001</v>
      </c>
      <c r="C88">
        <f t="shared" si="18"/>
        <v>1.6379000000000001</v>
      </c>
      <c r="D88">
        <f t="shared" si="19"/>
        <v>2.8586747818415126E-2</v>
      </c>
      <c r="E88">
        <f t="shared" si="20"/>
        <v>4.1657266060277441E-2</v>
      </c>
      <c r="F88">
        <v>1.9362571965520894E-2</v>
      </c>
      <c r="G88" s="8">
        <f t="shared" si="21"/>
        <v>-6.8021720738620228E-4</v>
      </c>
      <c r="H88">
        <f t="shared" si="22"/>
        <v>7.702484702443133E-25</v>
      </c>
    </row>
    <row r="89" spans="1:10" x14ac:dyDescent="0.2">
      <c r="A89" s="2">
        <v>-1.8856999999999999</v>
      </c>
      <c r="B89" s="2">
        <v>1.8531</v>
      </c>
      <c r="C89">
        <f t="shared" si="18"/>
        <v>1.8694</v>
      </c>
      <c r="D89">
        <f t="shared" si="19"/>
        <v>3.2627185036781997E-2</v>
      </c>
      <c r="E89">
        <f t="shared" si="20"/>
        <v>4.7547288139125135E-2</v>
      </c>
      <c r="F89">
        <v>2.2129033559018709E-2</v>
      </c>
      <c r="G89" s="8">
        <f t="shared" si="21"/>
        <v>-8.8553910500610566E-4</v>
      </c>
      <c r="H89">
        <f t="shared" si="22"/>
        <v>1.0027460839949149E-24</v>
      </c>
    </row>
    <row r="90" spans="1:10" x14ac:dyDescent="0.2">
      <c r="A90" s="2">
        <v>-2.0897000000000001</v>
      </c>
      <c r="B90" s="2">
        <v>2.0573000000000001</v>
      </c>
      <c r="C90">
        <f t="shared" si="18"/>
        <v>2.0735000000000001</v>
      </c>
      <c r="D90">
        <f t="shared" si="19"/>
        <v>3.6189402040102424E-2</v>
      </c>
      <c r="E90">
        <f t="shared" si="20"/>
        <v>5.2740897429888009E-2</v>
      </c>
      <c r="F90">
        <v>2.4612699471291792E-2</v>
      </c>
      <c r="G90" s="8">
        <f t="shared" si="21"/>
        <v>-1.0879310850013812E-3</v>
      </c>
      <c r="H90">
        <f t="shared" si="22"/>
        <v>1.2319259860737062E-24</v>
      </c>
    </row>
    <row r="91" spans="1:10" x14ac:dyDescent="0.2">
      <c r="A91" s="2">
        <v>-2.2757000000000001</v>
      </c>
      <c r="B91" s="2">
        <v>2.2433999999999998</v>
      </c>
      <c r="C91">
        <f t="shared" si="18"/>
        <v>2.2595499999999999</v>
      </c>
      <c r="D91">
        <f t="shared" si="19"/>
        <v>3.9436587113437872E-2</v>
      </c>
      <c r="E91">
        <f t="shared" si="20"/>
        <v>5.7475854527138673E-2</v>
      </c>
      <c r="F91">
        <v>2.685611542747814E-2</v>
      </c>
      <c r="G91" s="8">
        <f t="shared" si="21"/>
        <v>-1.2911440691893983E-3</v>
      </c>
      <c r="H91">
        <f t="shared" si="22"/>
        <v>1.4620355577001898E-24</v>
      </c>
    </row>
    <row r="92" spans="1:10" x14ac:dyDescent="0.2">
      <c r="A92" s="2">
        <v>-2.4477000000000002</v>
      </c>
      <c r="B92" s="2">
        <v>2.4144999999999999</v>
      </c>
      <c r="C92">
        <f t="shared" si="18"/>
        <v>2.4310999999999998</v>
      </c>
      <c r="D92">
        <f t="shared" si="19"/>
        <v>4.2430699445234143E-2</v>
      </c>
      <c r="E92">
        <f t="shared" si="20"/>
        <v>6.18423921929388E-2</v>
      </c>
      <c r="F92">
        <v>2.8881465887362644E-2</v>
      </c>
      <c r="G92" s="8">
        <f>COS(E92)/COS(F92)-1</f>
        <v>-1.4952143891386882E-3</v>
      </c>
      <c r="H92">
        <f t="shared" si="22"/>
        <v>1.6931159391671707E-24</v>
      </c>
    </row>
    <row r="93" spans="1:10" x14ac:dyDescent="0.2">
      <c r="A93" s="2">
        <v>-2.6092</v>
      </c>
      <c r="B93" s="2">
        <v>2.5739999999999998</v>
      </c>
      <c r="C93">
        <f t="shared" si="18"/>
        <v>2.5915999999999997</v>
      </c>
      <c r="D93">
        <f t="shared" si="19"/>
        <v>4.523195289468504E-2</v>
      </c>
      <c r="E93">
        <f t="shared" si="20"/>
        <v>6.5928235019507717E-2</v>
      </c>
      <c r="F93">
        <v>3.0798930405404979E-2</v>
      </c>
      <c r="G93" s="8">
        <f t="shared" ref="G93:G94" si="23">COS(E93)/COS(F93)-1</f>
        <v>-1.6990352193632097E-3</v>
      </c>
      <c r="H93">
        <f t="shared" si="22"/>
        <v>1.9239138092881318E-24</v>
      </c>
    </row>
    <row r="94" spans="1:10" x14ac:dyDescent="0.2">
      <c r="A94" s="2">
        <v>-2.782</v>
      </c>
      <c r="B94" s="2">
        <v>2.7267000000000001</v>
      </c>
      <c r="C94">
        <f t="shared" si="18"/>
        <v>2.7543500000000001</v>
      </c>
      <c r="D94">
        <f t="shared" si="19"/>
        <v>4.8072476252305818E-2</v>
      </c>
      <c r="E94">
        <f t="shared" si="20"/>
        <v>7.0071952816068969E-2</v>
      </c>
      <c r="F94">
        <v>3.2674366439167636E-2</v>
      </c>
      <c r="G94" s="8">
        <f t="shared" si="23"/>
        <v>-1.921300805481696E-3</v>
      </c>
      <c r="H94">
        <f t="shared" si="22"/>
        <v>2.1755977211867599E-24</v>
      </c>
    </row>
    <row r="98" spans="1:10" x14ac:dyDescent="0.2">
      <c r="A98" t="s">
        <v>24</v>
      </c>
      <c r="B98">
        <f>9.274009994*10^(-24)</f>
        <v>9.2740099940000005E-24</v>
      </c>
    </row>
    <row r="99" spans="1:10" x14ac:dyDescent="0.2">
      <c r="A99" t="s">
        <v>22</v>
      </c>
      <c r="B99">
        <f>1.60217662*10^(-19)</f>
        <v>1.6021766200000001E-19</v>
      </c>
    </row>
    <row r="100" spans="1:10" x14ac:dyDescent="0.2">
      <c r="A100" t="s">
        <v>20</v>
      </c>
      <c r="B100">
        <f>9.10938356*10^(-31)</f>
        <v>9.1093835599999998E-31</v>
      </c>
    </row>
    <row r="101" spans="1:10" x14ac:dyDescent="0.2">
      <c r="A101" t="s">
        <v>21</v>
      </c>
      <c r="B101">
        <f>6.62607015*10^(-31)</f>
        <v>6.6260701500000011E-31</v>
      </c>
    </row>
    <row r="102" spans="1:10" x14ac:dyDescent="0.2">
      <c r="A102" t="s">
        <v>19</v>
      </c>
      <c r="B102" s="2">
        <v>0.1221</v>
      </c>
    </row>
    <row r="103" spans="1:10" x14ac:dyDescent="0.2">
      <c r="A103" t="s">
        <v>18</v>
      </c>
      <c r="B103">
        <f>(B101/(4*PI()))*(B99/B100)*B102</f>
        <v>1.1323566382627463E-21</v>
      </c>
    </row>
    <row r="104" spans="1:10" x14ac:dyDescent="0.2">
      <c r="A104" t="s">
        <v>23</v>
      </c>
      <c r="B104">
        <f>B98*B102</f>
        <v>1.1323566202674E-24</v>
      </c>
    </row>
    <row r="109" spans="1:10" x14ac:dyDescent="0.2">
      <c r="A109" t="s">
        <v>11</v>
      </c>
      <c r="B109">
        <v>4</v>
      </c>
    </row>
    <row r="110" spans="1:10" x14ac:dyDescent="0.2">
      <c r="A110" t="s">
        <v>12</v>
      </c>
      <c r="B110">
        <v>1.4570000000000001</v>
      </c>
    </row>
    <row r="111" spans="1:10" x14ac:dyDescent="0.2">
      <c r="A111" t="s">
        <v>13</v>
      </c>
      <c r="B111">
        <v>1</v>
      </c>
    </row>
    <row r="112" spans="1:10" x14ac:dyDescent="0.2">
      <c r="A112" t="s">
        <v>4</v>
      </c>
      <c r="B112" t="s">
        <v>5</v>
      </c>
      <c r="C112" t="s">
        <v>56</v>
      </c>
      <c r="D112" t="s">
        <v>14</v>
      </c>
      <c r="E112" t="s">
        <v>15</v>
      </c>
      <c r="F112" t="s">
        <v>16</v>
      </c>
      <c r="G112" t="s">
        <v>17</v>
      </c>
      <c r="H112" t="s">
        <v>25</v>
      </c>
      <c r="I112" t="s">
        <v>27</v>
      </c>
      <c r="J112" t="s">
        <v>26</v>
      </c>
    </row>
    <row r="113" spans="1:10" x14ac:dyDescent="0.2">
      <c r="A113" s="2">
        <v>-0.54869999999999997</v>
      </c>
      <c r="B113" s="2">
        <v>0.52270000000000005</v>
      </c>
      <c r="C113">
        <f t="shared" ref="C113:C122" si="24">(ABS(A113) + B113) / 2</f>
        <v>0.53570000000000007</v>
      </c>
      <c r="D113">
        <f>RADIANS(C113)</f>
        <v>9.349728802933624E-3</v>
      </c>
      <c r="E113">
        <f>ASIN(($B$3/$B$4)*SIN(D113))</f>
        <v>1.3622777740727772E-2</v>
      </c>
      <c r="F113">
        <v>5.3503578182931772E-3</v>
      </c>
      <c r="G113" s="8">
        <f>COS(E113)/COS(F113)-1</f>
        <v>-7.8476594695287005E-5</v>
      </c>
      <c r="H113">
        <f>-(G113*$B$131)</f>
        <v>1.202313598327742E-25</v>
      </c>
      <c r="I113">
        <f>AVERAGE(H113:H122)</f>
        <v>1.5260515625515687E-24</v>
      </c>
      <c r="J113" s="12">
        <f>ABS(I113-B132)/B132</f>
        <v>3.9259971088532186E-3</v>
      </c>
    </row>
    <row r="114" spans="1:10" x14ac:dyDescent="0.2">
      <c r="A114" s="2">
        <v>-1.0619000000000001</v>
      </c>
      <c r="B114" s="2">
        <v>1.0311999999999999</v>
      </c>
      <c r="C114">
        <f t="shared" si="24"/>
        <v>1.0465499999999999</v>
      </c>
      <c r="D114">
        <f t="shared" ref="D114:D122" si="25">RADIANS(C114)</f>
        <v>1.8265743286746655E-2</v>
      </c>
      <c r="E114">
        <f t="shared" ref="E114:E122" si="26">ASIN(($B$3/$B$4)*SIN(D114))</f>
        <v>2.6614850129096805E-2</v>
      </c>
      <c r="F114">
        <v>1.2076222779432417E-2</v>
      </c>
      <c r="G114" s="8">
        <f t="shared" ref="G114:G119" si="27">COS(E114)/COS(F114)-1</f>
        <v>-2.8125803377510028E-4</v>
      </c>
      <c r="H114">
        <f t="shared" ref="H114:H122" si="28">-(G114*$B$131)</f>
        <v>4.3090600447146442E-25</v>
      </c>
    </row>
    <row r="115" spans="1:10" x14ac:dyDescent="0.2">
      <c r="A115" s="2">
        <v>-1.3963000000000001</v>
      </c>
      <c r="B115" s="2">
        <v>1.3652</v>
      </c>
      <c r="C115">
        <f t="shared" si="24"/>
        <v>1.3807499999999999</v>
      </c>
      <c r="D115">
        <f t="shared" si="25"/>
        <v>2.4098633646911703E-2</v>
      </c>
      <c r="E115">
        <f t="shared" si="26"/>
        <v>3.5115527218282774E-2</v>
      </c>
      <c r="F115">
        <v>1.6128836015868692E-2</v>
      </c>
      <c r="G115" s="8">
        <f t="shared" si="27"/>
        <v>-4.864831922249957E-4</v>
      </c>
      <c r="H115">
        <f t="shared" si="28"/>
        <v>7.4532458963223633E-25</v>
      </c>
    </row>
    <row r="116" spans="1:10" x14ac:dyDescent="0.2">
      <c r="A116" s="2">
        <v>-1.6633</v>
      </c>
      <c r="B116" s="2">
        <v>1.6323000000000001</v>
      </c>
      <c r="C116">
        <f t="shared" si="24"/>
        <v>1.6478000000000002</v>
      </c>
      <c r="D116">
        <f t="shared" si="25"/>
        <v>2.8759535414362564E-2</v>
      </c>
      <c r="E116">
        <f t="shared" si="26"/>
        <v>4.1909133934366738E-2</v>
      </c>
      <c r="F116">
        <v>1.9362571965520894E-2</v>
      </c>
      <c r="G116" s="8">
        <f t="shared" si="27"/>
        <v>-6.9073996370794255E-4</v>
      </c>
      <c r="H116">
        <f t="shared" si="28"/>
        <v>1.0582595415857744E-24</v>
      </c>
    </row>
    <row r="117" spans="1:10" x14ac:dyDescent="0.2">
      <c r="A117" s="2">
        <v>-1.8935</v>
      </c>
      <c r="B117" s="2">
        <v>1.8622000000000001</v>
      </c>
      <c r="C117">
        <f t="shared" si="24"/>
        <v>1.87785</v>
      </c>
      <c r="D117">
        <f t="shared" si="25"/>
        <v>3.2774665358575518E-2</v>
      </c>
      <c r="E117">
        <f t="shared" si="26"/>
        <v>4.776229618124065E-2</v>
      </c>
      <c r="F117">
        <v>2.2129033559018709E-2</v>
      </c>
      <c r="G117" s="8">
        <f t="shared" si="27"/>
        <v>-8.9578389915456746E-4</v>
      </c>
      <c r="H117">
        <f t="shared" si="28"/>
        <v>1.3724004810586722E-24</v>
      </c>
    </row>
    <row r="118" spans="1:10" x14ac:dyDescent="0.2">
      <c r="A118" s="2">
        <v>-2.0979999999999999</v>
      </c>
      <c r="B118" s="2">
        <v>2.0666000000000002</v>
      </c>
      <c r="C118">
        <f t="shared" si="24"/>
        <v>2.0823</v>
      </c>
      <c r="D118">
        <f t="shared" si="25"/>
        <v>3.6342991014277924E-2</v>
      </c>
      <c r="E118">
        <f t="shared" si="26"/>
        <v>5.2964842133994001E-2</v>
      </c>
      <c r="F118">
        <v>2.4612699471291792E-2</v>
      </c>
      <c r="G118" s="8">
        <f t="shared" si="27"/>
        <v>-1.0997652797843926E-3</v>
      </c>
      <c r="H118">
        <f t="shared" si="28"/>
        <v>1.6849135159185228E-24</v>
      </c>
    </row>
    <row r="119" spans="1:10" x14ac:dyDescent="0.2">
      <c r="A119" s="2">
        <v>-2.2839999999999998</v>
      </c>
      <c r="B119" s="2">
        <v>2.2517</v>
      </c>
      <c r="C119">
        <f t="shared" si="24"/>
        <v>2.2678500000000001</v>
      </c>
      <c r="D119">
        <f t="shared" si="25"/>
        <v>3.9581449441353403E-2</v>
      </c>
      <c r="E119">
        <f t="shared" si="26"/>
        <v>5.7687104344749759E-2</v>
      </c>
      <c r="F119">
        <v>2.685611542747814E-2</v>
      </c>
      <c r="G119" s="8">
        <f t="shared" si="27"/>
        <v>-1.303305810956723E-3</v>
      </c>
      <c r="H119">
        <f t="shared" si="28"/>
        <v>1.9967511401038666E-24</v>
      </c>
    </row>
    <row r="120" spans="1:10" x14ac:dyDescent="0.2">
      <c r="A120" s="2">
        <v>-2.4552</v>
      </c>
      <c r="B120" s="2">
        <v>2.4222000000000001</v>
      </c>
      <c r="C120">
        <f t="shared" si="24"/>
        <v>2.4386999999999999</v>
      </c>
      <c r="D120">
        <f t="shared" si="25"/>
        <v>4.2563344468385715E-2</v>
      </c>
      <c r="E120">
        <f t="shared" si="26"/>
        <v>6.2035852483394924E-2</v>
      </c>
      <c r="F120">
        <v>2.8881465887362644E-2</v>
      </c>
      <c r="G120" s="8">
        <f>COS(E120)/COS(F120)-1</f>
        <v>-1.5071944854869734E-3</v>
      </c>
      <c r="H120">
        <f t="shared" si="28"/>
        <v>2.3091221430564976E-24</v>
      </c>
    </row>
    <row r="121" spans="1:10" x14ac:dyDescent="0.2">
      <c r="A121" s="2">
        <v>-2.6152000000000002</v>
      </c>
      <c r="B121" s="2">
        <v>2.5789</v>
      </c>
      <c r="C121">
        <f t="shared" si="24"/>
        <v>2.5970500000000003</v>
      </c>
      <c r="D121">
        <f t="shared" si="25"/>
        <v>4.5327073338918743E-2</v>
      </c>
      <c r="E121">
        <f t="shared" si="26"/>
        <v>6.6066985526655547E-2</v>
      </c>
      <c r="F121">
        <v>3.0798930405404979E-2</v>
      </c>
      <c r="G121" s="8">
        <f t="shared" ref="G121:G122" si="29">COS(E121)/COS(F121)-1</f>
        <v>-1.708190116758268E-3</v>
      </c>
      <c r="H121">
        <f t="shared" si="28"/>
        <v>2.6170608114203265E-24</v>
      </c>
    </row>
    <row r="122" spans="1:10" x14ac:dyDescent="0.2">
      <c r="A122" s="2">
        <v>-2.7633999999999999</v>
      </c>
      <c r="B122" s="2">
        <v>2.7321</v>
      </c>
      <c r="C122">
        <f t="shared" si="24"/>
        <v>2.7477499999999999</v>
      </c>
      <c r="D122">
        <f t="shared" si="25"/>
        <v>4.7957284521674186E-2</v>
      </c>
      <c r="E122">
        <f t="shared" si="26"/>
        <v>6.9903900474093089E-2</v>
      </c>
      <c r="F122">
        <v>3.2674366439167636E-2</v>
      </c>
      <c r="G122" s="8">
        <f t="shared" si="29"/>
        <v>-1.9095424940717143E-3</v>
      </c>
      <c r="H122">
        <f t="shared" si="28"/>
        <v>2.9255460384355525E-24</v>
      </c>
    </row>
    <row r="126" spans="1:10" x14ac:dyDescent="0.2">
      <c r="A126" t="s">
        <v>24</v>
      </c>
      <c r="B126">
        <f>9.274009994*10^(-24)</f>
        <v>9.2740099940000005E-24</v>
      </c>
    </row>
    <row r="127" spans="1:10" x14ac:dyDescent="0.2">
      <c r="A127" t="s">
        <v>22</v>
      </c>
      <c r="B127">
        <f>1.60217662*10^(-19)</f>
        <v>1.6021766200000001E-19</v>
      </c>
    </row>
    <row r="128" spans="1:10" x14ac:dyDescent="0.2">
      <c r="A128" t="s">
        <v>20</v>
      </c>
      <c r="B128">
        <f>9.10938356*10^(-31)</f>
        <v>9.1093835599999998E-31</v>
      </c>
    </row>
    <row r="129" spans="1:10" x14ac:dyDescent="0.2">
      <c r="A129" t="s">
        <v>21</v>
      </c>
      <c r="B129">
        <f>6.62607015*10^(-31)</f>
        <v>6.6260701500000011E-31</v>
      </c>
    </row>
    <row r="130" spans="1:10" x14ac:dyDescent="0.2">
      <c r="A130" t="s">
        <v>19</v>
      </c>
      <c r="B130" s="2">
        <v>0.16520000000000001</v>
      </c>
    </row>
    <row r="131" spans="1:10" x14ac:dyDescent="0.2">
      <c r="A131" t="s">
        <v>18</v>
      </c>
      <c r="B131">
        <f>(B129/(4*PI()))*(B127/B128)*B130</f>
        <v>1.532066475356312E-21</v>
      </c>
    </row>
    <row r="132" spans="1:10" x14ac:dyDescent="0.2">
      <c r="A132" t="s">
        <v>23</v>
      </c>
      <c r="B132">
        <f>B126*B130</f>
        <v>1.5320664510088003E-24</v>
      </c>
    </row>
    <row r="136" spans="1:10" x14ac:dyDescent="0.2">
      <c r="A136" t="s">
        <v>11</v>
      </c>
      <c r="B136">
        <v>6</v>
      </c>
    </row>
    <row r="137" spans="1:10" x14ac:dyDescent="0.2">
      <c r="A137" t="s">
        <v>12</v>
      </c>
      <c r="B137">
        <v>1.4570000000000001</v>
      </c>
    </row>
    <row r="138" spans="1:10" x14ac:dyDescent="0.2">
      <c r="A138" t="s">
        <v>13</v>
      </c>
      <c r="B138">
        <v>1</v>
      </c>
    </row>
    <row r="139" spans="1:10" x14ac:dyDescent="0.2">
      <c r="A139" t="s">
        <v>4</v>
      </c>
      <c r="B139" t="s">
        <v>5</v>
      </c>
      <c r="C139" t="s">
        <v>56</v>
      </c>
      <c r="D139" t="s">
        <v>14</v>
      </c>
      <c r="E139" t="s">
        <v>15</v>
      </c>
      <c r="F139" t="s">
        <v>16</v>
      </c>
      <c r="G139" t="s">
        <v>17</v>
      </c>
      <c r="H139" t="s">
        <v>25</v>
      </c>
      <c r="I139" t="s">
        <v>27</v>
      </c>
      <c r="J139" t="s">
        <v>26</v>
      </c>
    </row>
    <row r="140" spans="1:10" x14ac:dyDescent="0.2">
      <c r="A140" s="2">
        <v>-0.57769999999999999</v>
      </c>
      <c r="B140" s="2">
        <v>0.5444</v>
      </c>
      <c r="C140">
        <f t="shared" ref="C140:C149" si="30">(ABS(A140) + B140) / 2</f>
        <v>0.56105000000000005</v>
      </c>
      <c r="D140">
        <f>RADIANS(C140)</f>
        <v>9.7921697683141865E-3</v>
      </c>
      <c r="E140">
        <f>ASIN(($B$3/$B$4)*SIN(D140))</f>
        <v>1.4267447390277931E-2</v>
      </c>
      <c r="F140">
        <v>5.3503578182931772E-3</v>
      </c>
      <c r="G140" s="8">
        <f>COS(E140)/COS(F140)-1</f>
        <v>-8.7466422670767763E-5</v>
      </c>
      <c r="H140">
        <f>-(G140*$B$158)</f>
        <v>1.8494550392043652E-25</v>
      </c>
      <c r="I140">
        <f>AVERAGE(H140:H149)</f>
        <v>2.1254052702559737E-24</v>
      </c>
      <c r="J140" s="12">
        <f>ABS(I140-B159)/B159</f>
        <v>5.1696025505902224E-3</v>
      </c>
    </row>
    <row r="141" spans="1:10" x14ac:dyDescent="0.2">
      <c r="A141" s="2">
        <v>-1.0739000000000001</v>
      </c>
      <c r="B141" s="2">
        <v>1.0441</v>
      </c>
      <c r="C141">
        <f t="shared" si="30"/>
        <v>1.0590000000000002</v>
      </c>
      <c r="D141">
        <f t="shared" ref="D141:D149" si="31">RADIANS(C141)</f>
        <v>1.8483036778619951E-2</v>
      </c>
      <c r="E141">
        <f t="shared" ref="E141:E149" si="32">ASIN(($B$3/$B$4)*SIN(D141))</f>
        <v>2.6931506788024012E-2</v>
      </c>
      <c r="F141">
        <v>1.2076222779432417E-2</v>
      </c>
      <c r="G141" s="8">
        <f t="shared" ref="G141:G146" si="33">COS(E141)/COS(F141)-1</f>
        <v>-2.8973554433620041E-4</v>
      </c>
      <c r="H141">
        <f t="shared" ref="H141:H149" si="34">-(G141*$B$158)</f>
        <v>6.1263836584035068E-25</v>
      </c>
    </row>
    <row r="142" spans="1:10" x14ac:dyDescent="0.2">
      <c r="A142" s="2">
        <v>-1.4054</v>
      </c>
      <c r="B142" s="2">
        <v>1.3736999999999999</v>
      </c>
      <c r="C142">
        <f t="shared" si="30"/>
        <v>1.3895499999999998</v>
      </c>
      <c r="D142">
        <f t="shared" si="31"/>
        <v>2.4252222621087203E-2</v>
      </c>
      <c r="E142">
        <f t="shared" si="32"/>
        <v>3.5339379846306689E-2</v>
      </c>
      <c r="F142">
        <v>1.6128836015868692E-2</v>
      </c>
      <c r="G142" s="8">
        <f t="shared" si="33"/>
        <v>-4.9436834495575344E-4</v>
      </c>
      <c r="H142">
        <f t="shared" si="34"/>
        <v>1.0453291661911232E-24</v>
      </c>
    </row>
    <row r="143" spans="1:10" x14ac:dyDescent="0.2">
      <c r="A143" s="2">
        <v>-1.6720999999999999</v>
      </c>
      <c r="B143" s="2">
        <v>1.6408</v>
      </c>
      <c r="C143">
        <f t="shared" si="30"/>
        <v>1.65645</v>
      </c>
      <c r="D143">
        <f t="shared" si="31"/>
        <v>2.8910506394660071E-2</v>
      </c>
      <c r="E143">
        <f t="shared" si="32"/>
        <v>4.2129201461651604E-2</v>
      </c>
      <c r="F143">
        <v>1.9362571965520894E-2</v>
      </c>
      <c r="G143" s="8">
        <f t="shared" si="33"/>
        <v>-6.9998603031096174E-4</v>
      </c>
      <c r="H143">
        <f t="shared" si="34"/>
        <v>1.4801024800159511E-24</v>
      </c>
    </row>
    <row r="144" spans="1:10" x14ac:dyDescent="0.2">
      <c r="A144" s="2">
        <v>-1.9016</v>
      </c>
      <c r="B144" s="2">
        <v>1.8702000000000001</v>
      </c>
      <c r="C144">
        <f t="shared" si="30"/>
        <v>1.8858999999999999</v>
      </c>
      <c r="D144">
        <f t="shared" si="31"/>
        <v>3.291516436336106E-2</v>
      </c>
      <c r="E144">
        <f t="shared" si="32"/>
        <v>4.79671274160536E-2</v>
      </c>
      <c r="F144">
        <v>2.2129033559018709E-2</v>
      </c>
      <c r="G144" s="8">
        <f t="shared" si="33"/>
        <v>-9.0558674407181794E-4</v>
      </c>
      <c r="H144">
        <f t="shared" si="34"/>
        <v>1.9148399078404838E-24</v>
      </c>
    </row>
    <row r="145" spans="1:8" x14ac:dyDescent="0.2">
      <c r="A145" s="2">
        <v>-2.1044</v>
      </c>
      <c r="B145" s="2">
        <v>2.0710000000000002</v>
      </c>
      <c r="C145">
        <f t="shared" si="30"/>
        <v>2.0876999999999999</v>
      </c>
      <c r="D145">
        <f t="shared" si="31"/>
        <v>3.6437238793885614E-2</v>
      </c>
      <c r="E145">
        <f t="shared" si="32"/>
        <v>5.3102263444668694E-2</v>
      </c>
      <c r="F145">
        <v>2.4612699471291792E-2</v>
      </c>
      <c r="G145" s="8">
        <f t="shared" si="33"/>
        <v>-1.1070520112858029E-3</v>
      </c>
      <c r="H145">
        <f t="shared" si="34"/>
        <v>2.340833040172036E-24</v>
      </c>
    </row>
    <row r="146" spans="1:8" x14ac:dyDescent="0.2">
      <c r="A146" s="2">
        <v>-2.2900999999999998</v>
      </c>
      <c r="B146" s="2">
        <v>2.2572999999999999</v>
      </c>
      <c r="C146">
        <f t="shared" si="30"/>
        <v>2.2736999999999998</v>
      </c>
      <c r="D146">
        <f t="shared" si="31"/>
        <v>3.968355120259507E-2</v>
      </c>
      <c r="E146">
        <f t="shared" si="32"/>
        <v>5.7835998108475534E-2</v>
      </c>
      <c r="F146">
        <v>2.685611542747814E-2</v>
      </c>
      <c r="G146" s="8">
        <f t="shared" si="33"/>
        <v>-1.3119044648596256E-3</v>
      </c>
      <c r="H146">
        <f t="shared" si="34"/>
        <v>2.7739882910522183E-24</v>
      </c>
    </row>
    <row r="147" spans="1:8" x14ac:dyDescent="0.2">
      <c r="A147" s="2">
        <v>-2.4624000000000001</v>
      </c>
      <c r="B147" s="2">
        <v>2.4281000000000001</v>
      </c>
      <c r="C147">
        <f t="shared" si="30"/>
        <v>2.4452500000000001</v>
      </c>
      <c r="D147">
        <f t="shared" si="31"/>
        <v>4.2677663534391348E-2</v>
      </c>
      <c r="E147">
        <f t="shared" si="32"/>
        <v>6.2202585695626464E-2</v>
      </c>
      <c r="F147">
        <v>2.8881465887362644E-2</v>
      </c>
      <c r="G147" s="8">
        <f>COS(E147)/COS(F147)-1</f>
        <v>-1.5175494810091283E-3</v>
      </c>
      <c r="H147">
        <f t="shared" si="34"/>
        <v>3.2088193951395149E-24</v>
      </c>
    </row>
    <row r="148" spans="1:8" x14ac:dyDescent="0.2">
      <c r="A148" s="2">
        <v>-2.62</v>
      </c>
      <c r="B148" s="2">
        <v>2.5867</v>
      </c>
      <c r="C148">
        <f t="shared" si="30"/>
        <v>2.6033499999999998</v>
      </c>
      <c r="D148">
        <f t="shared" si="31"/>
        <v>4.5437029081794374E-2</v>
      </c>
      <c r="E148">
        <f t="shared" si="32"/>
        <v>6.622737686252568E-2</v>
      </c>
      <c r="F148">
        <v>3.0798930405404979E-2</v>
      </c>
      <c r="G148" s="8">
        <f t="shared" ref="G148:G149" si="35">COS(E148)/COS(F148)-1</f>
        <v>-1.7187968465910419E-3</v>
      </c>
      <c r="H148">
        <f t="shared" si="34"/>
        <v>3.6343517800674577E-24</v>
      </c>
    </row>
    <row r="149" spans="1:8" x14ac:dyDescent="0.2">
      <c r="A149" s="2">
        <v>-2.7688999999999999</v>
      </c>
      <c r="B149" s="2">
        <v>2.7374999999999998</v>
      </c>
      <c r="C149">
        <f t="shared" si="30"/>
        <v>2.7531999999999996</v>
      </c>
      <c r="D149">
        <f t="shared" si="31"/>
        <v>4.8052404965907874E-2</v>
      </c>
      <c r="E149">
        <f t="shared" si="32"/>
        <v>7.0042670893073866E-2</v>
      </c>
      <c r="F149">
        <v>3.2674366439167636E-2</v>
      </c>
      <c r="G149" s="8">
        <f t="shared" si="35"/>
        <v>-1.9192499756738313E-3</v>
      </c>
      <c r="H149">
        <f t="shared" si="34"/>
        <v>4.0582047723201638E-24</v>
      </c>
    </row>
    <row r="153" spans="1:8" x14ac:dyDescent="0.2">
      <c r="A153" t="s">
        <v>24</v>
      </c>
      <c r="B153">
        <f>9.274009994*10^(-24)</f>
        <v>9.2740099940000005E-24</v>
      </c>
    </row>
    <row r="154" spans="1:8" x14ac:dyDescent="0.2">
      <c r="A154" t="s">
        <v>22</v>
      </c>
      <c r="B154">
        <f>1.60217662*10^(-19)</f>
        <v>1.6021766200000001E-19</v>
      </c>
    </row>
    <row r="155" spans="1:8" x14ac:dyDescent="0.2">
      <c r="A155" t="s">
        <v>20</v>
      </c>
      <c r="B155">
        <f>9.10938356*10^(-31)</f>
        <v>9.1093835599999998E-31</v>
      </c>
    </row>
    <row r="156" spans="1:8" x14ac:dyDescent="0.2">
      <c r="A156" t="s">
        <v>21</v>
      </c>
      <c r="B156">
        <f>6.62607015*10^(-31)</f>
        <v>6.6260701500000011E-31</v>
      </c>
    </row>
    <row r="157" spans="1:8" x14ac:dyDescent="0.2">
      <c r="A157" t="s">
        <v>19</v>
      </c>
      <c r="B157" s="2">
        <v>0.22800000000000001</v>
      </c>
    </row>
    <row r="158" spans="1:8" x14ac:dyDescent="0.2">
      <c r="A158" t="s">
        <v>18</v>
      </c>
      <c r="B158">
        <f>(B156/(4*PI()))*(B154/B155)*B157</f>
        <v>2.1144743122351035E-21</v>
      </c>
    </row>
    <row r="159" spans="1:8" x14ac:dyDescent="0.2">
      <c r="A159" t="s">
        <v>23</v>
      </c>
      <c r="B159">
        <f>B153*B157</f>
        <v>2.1144742786320003E-24</v>
      </c>
    </row>
    <row r="162" spans="1:10" x14ac:dyDescent="0.2">
      <c r="A162" t="s">
        <v>11</v>
      </c>
      <c r="B162">
        <v>7</v>
      </c>
    </row>
    <row r="163" spans="1:10" x14ac:dyDescent="0.2">
      <c r="A163" t="s">
        <v>12</v>
      </c>
      <c r="B163">
        <v>1.4570000000000001</v>
      </c>
    </row>
    <row r="164" spans="1:10" x14ac:dyDescent="0.2">
      <c r="A164" t="s">
        <v>13</v>
      </c>
      <c r="B164">
        <v>1</v>
      </c>
    </row>
    <row r="165" spans="1:10" x14ac:dyDescent="0.2">
      <c r="A165" t="s">
        <v>4</v>
      </c>
      <c r="B165" t="s">
        <v>5</v>
      </c>
      <c r="C165" t="s">
        <v>56</v>
      </c>
      <c r="D165" t="s">
        <v>14</v>
      </c>
      <c r="E165" t="s">
        <v>15</v>
      </c>
      <c r="F165" t="s">
        <v>16</v>
      </c>
      <c r="G165" t="s">
        <v>17</v>
      </c>
      <c r="H165" t="s">
        <v>25</v>
      </c>
      <c r="I165" t="s">
        <v>27</v>
      </c>
      <c r="J165" t="s">
        <v>26</v>
      </c>
    </row>
    <row r="166" spans="1:10" x14ac:dyDescent="0.2">
      <c r="A166" s="2">
        <v>-0.56840000000000002</v>
      </c>
      <c r="B166" s="2">
        <v>0.54190000000000005</v>
      </c>
      <c r="C166">
        <f t="shared" ref="C166:C175" si="36">(ABS(A166) + B166) / 2</f>
        <v>0.55515000000000003</v>
      </c>
      <c r="D166">
        <f>RADIANS(C166)</f>
        <v>9.6891953424465202E-3</v>
      </c>
      <c r="E166">
        <f>ASIN(($B$3/$B$4)*SIN(D166))</f>
        <v>1.4117405658503774E-2</v>
      </c>
      <c r="F166">
        <v>5.3503578182931772E-3</v>
      </c>
      <c r="G166" s="8">
        <f>COS(E166)/COS(F166)-1</f>
        <v>-8.5337007427188638E-5</v>
      </c>
      <c r="H166">
        <f>-(G166*$B$184)</f>
        <v>2.0022831689568015E-25</v>
      </c>
      <c r="I166">
        <f>AVERAGE(H166:H175)</f>
        <v>2.3552939690238571E-24</v>
      </c>
      <c r="J166" s="12">
        <f>ABS(I166-B185)/B185</f>
        <v>3.8227621256041793E-3</v>
      </c>
    </row>
    <row r="167" spans="1:10" x14ac:dyDescent="0.2">
      <c r="A167" s="2">
        <v>-1.0734999999999999</v>
      </c>
      <c r="B167" s="2">
        <v>1.0432999999999999</v>
      </c>
      <c r="C167">
        <f t="shared" si="36"/>
        <v>1.0583999999999998</v>
      </c>
      <c r="D167">
        <f t="shared" ref="D167:D175" si="37">RADIANS(C167)</f>
        <v>1.847256480310798E-2</v>
      </c>
      <c r="E167">
        <f t="shared" ref="E167:E175" si="38">ASIN(($B$3/$B$4)*SIN(D167))</f>
        <v>2.691624619350386E-2</v>
      </c>
      <c r="F167">
        <v>1.2076222779432417E-2</v>
      </c>
      <c r="G167" s="8">
        <f t="shared" ref="G167:G172" si="39">COS(E167)/COS(F167)-1</f>
        <v>-2.8932468965436886E-4</v>
      </c>
      <c r="H167">
        <f t="shared" ref="H167:H175" si="40">-(G167*$B$184)</f>
        <v>6.7884962681972703E-25</v>
      </c>
    </row>
    <row r="168" spans="1:10" x14ac:dyDescent="0.2">
      <c r="A168" s="2">
        <v>-1.4040999999999999</v>
      </c>
      <c r="B168" s="2">
        <v>1.3749</v>
      </c>
      <c r="C168">
        <f t="shared" si="36"/>
        <v>1.3895</v>
      </c>
      <c r="D168">
        <f t="shared" si="37"/>
        <v>2.4251349956461207E-2</v>
      </c>
      <c r="E168">
        <f t="shared" si="38"/>
        <v>3.5338107953731851E-2</v>
      </c>
      <c r="F168">
        <v>1.6128836015868692E-2</v>
      </c>
      <c r="G168" s="8">
        <f t="shared" si="39"/>
        <v>-4.9432340137867126E-4</v>
      </c>
      <c r="H168">
        <f t="shared" si="40"/>
        <v>1.1598431400895893E-24</v>
      </c>
    </row>
    <row r="169" spans="1:10" x14ac:dyDescent="0.2">
      <c r="A169" s="2">
        <v>-1.6724000000000001</v>
      </c>
      <c r="B169" s="2">
        <v>1.6398999999999999</v>
      </c>
      <c r="C169">
        <f t="shared" si="36"/>
        <v>1.65615</v>
      </c>
      <c r="D169">
        <f t="shared" si="37"/>
        <v>2.8905270406904091E-2</v>
      </c>
      <c r="E169">
        <f t="shared" si="38"/>
        <v>4.2121569043803014E-2</v>
      </c>
      <c r="F169">
        <v>1.9362571965520894E-2</v>
      </c>
      <c r="G169" s="8">
        <f t="shared" si="39"/>
        <v>-6.9966454659020627E-4</v>
      </c>
      <c r="H169">
        <f t="shared" si="40"/>
        <v>1.6416401134626878E-24</v>
      </c>
    </row>
    <row r="170" spans="1:10" x14ac:dyDescent="0.2">
      <c r="A170" s="2">
        <v>-1.9</v>
      </c>
      <c r="B170" s="2">
        <v>1.8673999999999999</v>
      </c>
      <c r="C170">
        <f t="shared" si="36"/>
        <v>1.8836999999999999</v>
      </c>
      <c r="D170">
        <f t="shared" si="37"/>
        <v>3.2876767119817185E-2</v>
      </c>
      <c r="E170">
        <f t="shared" si="38"/>
        <v>4.791114858778784E-2</v>
      </c>
      <c r="F170">
        <v>2.2129033559018709E-2</v>
      </c>
      <c r="G170" s="8">
        <f t="shared" si="39"/>
        <v>-9.0290353811428581E-4</v>
      </c>
      <c r="H170">
        <f t="shared" si="40"/>
        <v>2.118504751997886E-24</v>
      </c>
    </row>
    <row r="171" spans="1:10" x14ac:dyDescent="0.2">
      <c r="A171" s="2">
        <v>-2.1034999999999999</v>
      </c>
      <c r="B171" s="2">
        <v>2.0703999999999998</v>
      </c>
      <c r="C171">
        <f t="shared" si="36"/>
        <v>2.0869499999999999</v>
      </c>
      <c r="D171">
        <f t="shared" si="37"/>
        <v>3.6424148824495656E-2</v>
      </c>
      <c r="E171">
        <f t="shared" si="38"/>
        <v>5.3083177119759697E-2</v>
      </c>
      <c r="F171">
        <v>2.4612699471291792E-2</v>
      </c>
      <c r="G171" s="8">
        <f t="shared" si="39"/>
        <v>-1.1060388355169648E-3</v>
      </c>
      <c r="H171">
        <f t="shared" si="40"/>
        <v>2.5951260904687166E-24</v>
      </c>
    </row>
    <row r="172" spans="1:10" x14ac:dyDescent="0.2">
      <c r="A172" s="2">
        <v>-2.2892999999999999</v>
      </c>
      <c r="B172" s="2">
        <v>2.2568000000000001</v>
      </c>
      <c r="C172">
        <f t="shared" si="36"/>
        <v>2.27305</v>
      </c>
      <c r="D172">
        <f t="shared" si="37"/>
        <v>3.967220656245711E-2</v>
      </c>
      <c r="E172">
        <f t="shared" si="38"/>
        <v>5.7819454323401326E-2</v>
      </c>
      <c r="F172">
        <v>2.685611542747814E-2</v>
      </c>
      <c r="G172" s="8">
        <f t="shared" si="39"/>
        <v>-1.3109479635808885E-3</v>
      </c>
      <c r="H172">
        <f t="shared" si="40"/>
        <v>3.0759094113955407E-24</v>
      </c>
    </row>
    <row r="173" spans="1:10" x14ac:dyDescent="0.2">
      <c r="A173" s="2">
        <v>-2.4594999999999998</v>
      </c>
      <c r="B173" s="2">
        <v>2.4266000000000001</v>
      </c>
      <c r="C173">
        <f t="shared" si="36"/>
        <v>2.4430499999999999</v>
      </c>
      <c r="D173">
        <f t="shared" si="37"/>
        <v>4.2639266290847466E-2</v>
      </c>
      <c r="E173">
        <f t="shared" si="38"/>
        <v>6.2146583598470542E-2</v>
      </c>
      <c r="F173">
        <v>2.8881465887362644E-2</v>
      </c>
      <c r="G173" s="8">
        <f>COS(E173)/COS(F173)-1</f>
        <v>-1.5140683650020081E-3</v>
      </c>
      <c r="H173">
        <f t="shared" si="40"/>
        <v>3.5524957990589071E-24</v>
      </c>
    </row>
    <row r="174" spans="1:10" x14ac:dyDescent="0.2">
      <c r="A174" s="2">
        <v>-2.6202999999999999</v>
      </c>
      <c r="B174" s="2">
        <v>2.585</v>
      </c>
      <c r="C174">
        <f t="shared" si="36"/>
        <v>2.6026499999999997</v>
      </c>
      <c r="D174">
        <f t="shared" si="37"/>
        <v>4.5424811777030415E-2</v>
      </c>
      <c r="E174">
        <f t="shared" si="38"/>
        <v>6.6209555558365829E-2</v>
      </c>
      <c r="F174">
        <v>3.0798930405404979E-2</v>
      </c>
      <c r="G174" s="8">
        <f t="shared" ref="G174:G175" si="41">COS(E174)/COS(F174)-1</f>
        <v>-1.7176170498900412E-3</v>
      </c>
      <c r="H174">
        <f t="shared" si="40"/>
        <v>4.0300870787418053E-24</v>
      </c>
    </row>
    <row r="175" spans="1:10" x14ac:dyDescent="0.2">
      <c r="A175" s="2">
        <v>-2.7681</v>
      </c>
      <c r="B175" s="2">
        <v>2.7368999999999999</v>
      </c>
      <c r="C175">
        <f t="shared" si="36"/>
        <v>2.7524999999999999</v>
      </c>
      <c r="D175">
        <f t="shared" si="37"/>
        <v>4.8040187661143922E-2</v>
      </c>
      <c r="E175">
        <f t="shared" si="38"/>
        <v>7.0024847129474599E-2</v>
      </c>
      <c r="F175">
        <v>3.2674366439167636E-2</v>
      </c>
      <c r="G175" s="8">
        <f t="shared" si="41"/>
        <v>-1.9180020645744866E-3</v>
      </c>
      <c r="H175">
        <f t="shared" si="40"/>
        <v>4.5002553613080328E-24</v>
      </c>
    </row>
    <row r="179" spans="1:10" x14ac:dyDescent="0.2">
      <c r="A179" t="s">
        <v>24</v>
      </c>
      <c r="B179">
        <f>9.274009994*10^(-24)</f>
        <v>9.2740099940000005E-24</v>
      </c>
    </row>
    <row r="180" spans="1:10" x14ac:dyDescent="0.2">
      <c r="A180" t="s">
        <v>22</v>
      </c>
      <c r="B180">
        <f>1.60217662*10^(-19)</f>
        <v>1.6021766200000001E-19</v>
      </c>
    </row>
    <row r="181" spans="1:10" x14ac:dyDescent="0.2">
      <c r="A181" t="s">
        <v>20</v>
      </c>
      <c r="B181">
        <f>9.10938356*10^(-31)</f>
        <v>9.1093835599999998E-31</v>
      </c>
    </row>
    <row r="182" spans="1:10" x14ac:dyDescent="0.2">
      <c r="A182" t="s">
        <v>21</v>
      </c>
      <c r="B182">
        <f>6.62607015*10^(-31)</f>
        <v>6.6260701500000011E-31</v>
      </c>
    </row>
    <row r="183" spans="1:10" x14ac:dyDescent="0.2">
      <c r="A183" t="s">
        <v>19</v>
      </c>
      <c r="B183" s="2">
        <v>0.253</v>
      </c>
    </row>
    <row r="184" spans="1:10" x14ac:dyDescent="0.2">
      <c r="A184" t="s">
        <v>18</v>
      </c>
      <c r="B184">
        <f>(B182/(4*PI()))*(B180/B181)*B183</f>
        <v>2.3463245657696542E-21</v>
      </c>
    </row>
    <row r="185" spans="1:10" x14ac:dyDescent="0.2">
      <c r="A185" t="s">
        <v>23</v>
      </c>
      <c r="B185">
        <f>B179*B183</f>
        <v>2.3463245284820001E-24</v>
      </c>
    </row>
    <row r="189" spans="1:10" x14ac:dyDescent="0.2">
      <c r="A189" t="s">
        <v>11</v>
      </c>
      <c r="B189">
        <v>8</v>
      </c>
    </row>
    <row r="190" spans="1:10" x14ac:dyDescent="0.2">
      <c r="A190" t="s">
        <v>12</v>
      </c>
      <c r="B190">
        <v>1.4570000000000001</v>
      </c>
    </row>
    <row r="191" spans="1:10" x14ac:dyDescent="0.2">
      <c r="A191" t="s">
        <v>13</v>
      </c>
      <c r="B191">
        <v>1</v>
      </c>
    </row>
    <row r="192" spans="1:10" x14ac:dyDescent="0.2">
      <c r="A192" t="s">
        <v>4</v>
      </c>
      <c r="B192" t="s">
        <v>5</v>
      </c>
      <c r="C192" t="s">
        <v>56</v>
      </c>
      <c r="D192" t="s">
        <v>14</v>
      </c>
      <c r="E192" t="s">
        <v>15</v>
      </c>
      <c r="F192" t="s">
        <v>16</v>
      </c>
      <c r="G192" t="s">
        <v>17</v>
      </c>
      <c r="H192" t="s">
        <v>25</v>
      </c>
      <c r="I192" t="s">
        <v>27</v>
      </c>
      <c r="J192" t="s">
        <v>26</v>
      </c>
    </row>
    <row r="193" spans="1:10" x14ac:dyDescent="0.2">
      <c r="A193" s="2">
        <v>-0.57509999999999994</v>
      </c>
      <c r="B193" s="2">
        <v>0.54759999999999998</v>
      </c>
      <c r="C193">
        <f t="shared" ref="C193:C202" si="42">(ABS(A193) + B193) / 2</f>
        <v>0.56135000000000002</v>
      </c>
      <c r="D193">
        <f>RADIANS(C193)</f>
        <v>9.7974057560701686E-3</v>
      </c>
      <c r="E193">
        <f>ASIN(($B$3/$B$4)*SIN(D193))</f>
        <v>1.4275076635401162E-2</v>
      </c>
      <c r="F193">
        <v>5.3503578182931772E-3</v>
      </c>
      <c r="G193" s="8">
        <f>COS(E193)/COS(F193)-1</f>
        <v>-8.7575299489328629E-5</v>
      </c>
      <c r="H193">
        <f>-(G193*$B$211)</f>
        <v>2.1847486399602406E-25</v>
      </c>
      <c r="I193">
        <f>AVERAGE(H193:H202)</f>
        <v>2.5091630850786273E-24</v>
      </c>
      <c r="J193" s="12">
        <f>ABS(I193-B212)/B212</f>
        <v>5.7940218671296657E-3</v>
      </c>
    </row>
    <row r="194" spans="1:10" x14ac:dyDescent="0.2">
      <c r="A194" s="2">
        <f>-1.0745</f>
        <v>-1.0745</v>
      </c>
      <c r="B194" s="2">
        <v>1.0484</v>
      </c>
      <c r="C194">
        <f t="shared" si="42"/>
        <v>1.06145</v>
      </c>
      <c r="D194">
        <f t="shared" ref="D194:D202" si="43">RADIANS(C194)</f>
        <v>1.8525797345293811E-2</v>
      </c>
      <c r="E194">
        <f t="shared" ref="E194:E202" si="44">ASIN(($B$3/$B$4)*SIN(D194))</f>
        <v>2.6993820916784969E-2</v>
      </c>
      <c r="F194">
        <v>1.2076222779432417E-2</v>
      </c>
      <c r="G194" s="8">
        <f t="shared" ref="G194:G199" si="45">COS(E194)/COS(F194)-1</f>
        <v>-2.9141561818113448E-4</v>
      </c>
      <c r="H194">
        <f t="shared" ref="H194:H202" si="46">-(G194*$B$211)</f>
        <v>7.269970861612491E-25</v>
      </c>
    </row>
    <row r="195" spans="1:10" x14ac:dyDescent="0.2">
      <c r="A195" s="2">
        <v>-1.4065000000000001</v>
      </c>
      <c r="B195" s="2">
        <v>1.3754999999999999</v>
      </c>
      <c r="C195">
        <f t="shared" si="42"/>
        <v>1.391</v>
      </c>
      <c r="D195">
        <f t="shared" si="43"/>
        <v>2.4277529895241123E-2</v>
      </c>
      <c r="E195">
        <f t="shared" si="44"/>
        <v>3.5376264744148823E-2</v>
      </c>
      <c r="F195">
        <v>1.6128836015868692E-2</v>
      </c>
      <c r="G195" s="8">
        <f t="shared" si="45"/>
        <v>-4.9567241251169403E-4</v>
      </c>
      <c r="H195">
        <f t="shared" si="46"/>
        <v>1.2365582937374856E-24</v>
      </c>
    </row>
    <row r="196" spans="1:10" x14ac:dyDescent="0.2">
      <c r="A196" s="2">
        <v>-1.673</v>
      </c>
      <c r="B196" s="2">
        <v>1.6415999999999999</v>
      </c>
      <c r="C196">
        <f t="shared" si="42"/>
        <v>1.6573</v>
      </c>
      <c r="D196">
        <f t="shared" si="43"/>
        <v>2.8925341693302024E-2</v>
      </c>
      <c r="E196">
        <f t="shared" si="44"/>
        <v>4.215082665261622E-2</v>
      </c>
      <c r="F196">
        <v>1.9362571965520894E-2</v>
      </c>
      <c r="G196" s="8">
        <f t="shared" si="45"/>
        <v>-7.0089721727961685E-4</v>
      </c>
      <c r="H196">
        <f t="shared" si="46"/>
        <v>1.748534405400638E-24</v>
      </c>
    </row>
    <row r="197" spans="1:10" x14ac:dyDescent="0.2">
      <c r="A197" s="2">
        <v>-1.9013</v>
      </c>
      <c r="B197" s="2">
        <v>1.8697999999999999</v>
      </c>
      <c r="C197">
        <f t="shared" si="42"/>
        <v>1.8855499999999998</v>
      </c>
      <c r="D197">
        <f t="shared" si="43"/>
        <v>3.2909055710979081E-2</v>
      </c>
      <c r="E197">
        <f t="shared" si="44"/>
        <v>4.7958221688049391E-2</v>
      </c>
      <c r="F197">
        <v>2.2129033559018709E-2</v>
      </c>
      <c r="G197" s="8">
        <f t="shared" si="45"/>
        <v>-9.0515966072102216E-4</v>
      </c>
      <c r="H197">
        <f t="shared" si="46"/>
        <v>2.2581097058630068E-24</v>
      </c>
    </row>
    <row r="198" spans="1:10" x14ac:dyDescent="0.2">
      <c r="A198" s="2">
        <v>-2.1053999999999999</v>
      </c>
      <c r="B198" s="2">
        <v>2.0728</v>
      </c>
      <c r="C198">
        <f t="shared" si="42"/>
        <v>2.0891000000000002</v>
      </c>
      <c r="D198">
        <f t="shared" si="43"/>
        <v>3.6461673403413539E-2</v>
      </c>
      <c r="E198">
        <f t="shared" si="44"/>
        <v>5.3137891278606832E-2</v>
      </c>
      <c r="F198">
        <v>2.4612699471291792E-2</v>
      </c>
      <c r="G198" s="8">
        <f t="shared" si="45"/>
        <v>-1.1089442477717482E-3</v>
      </c>
      <c r="H198">
        <f t="shared" si="46"/>
        <v>2.7664928938168027E-24</v>
      </c>
    </row>
    <row r="199" spans="1:10" x14ac:dyDescent="0.2">
      <c r="A199" s="2">
        <v>-2.2900999999999998</v>
      </c>
      <c r="B199" s="2">
        <v>2.2591000000000001</v>
      </c>
      <c r="C199">
        <f t="shared" si="42"/>
        <v>2.2746</v>
      </c>
      <c r="D199">
        <f t="shared" si="43"/>
        <v>3.9699259165863018E-2</v>
      </c>
      <c r="E199">
        <f t="shared" si="44"/>
        <v>5.785890490166936E-2</v>
      </c>
      <c r="F199">
        <v>2.685611542747814E-2</v>
      </c>
      <c r="G199" s="8">
        <f t="shared" si="45"/>
        <v>-1.3132293032971365E-3</v>
      </c>
      <c r="H199">
        <f t="shared" si="46"/>
        <v>3.2761246048424431E-24</v>
      </c>
    </row>
    <row r="200" spans="1:10" x14ac:dyDescent="0.2">
      <c r="A200" s="2">
        <v>-2.4607999999999999</v>
      </c>
      <c r="B200" s="2">
        <v>2.4278</v>
      </c>
      <c r="C200">
        <f t="shared" si="42"/>
        <v>2.4443000000000001</v>
      </c>
      <c r="D200">
        <f t="shared" si="43"/>
        <v>4.2661082906497401E-2</v>
      </c>
      <c r="E200">
        <f t="shared" si="44"/>
        <v>6.2178402959162243E-2</v>
      </c>
      <c r="F200">
        <v>2.8881465887362644E-2</v>
      </c>
      <c r="G200" s="8">
        <f>COS(E200)/COS(F200)-1</f>
        <v>-1.516045886878814E-3</v>
      </c>
      <c r="H200">
        <f t="shared" si="46"/>
        <v>3.7820929060932382E-24</v>
      </c>
    </row>
    <row r="201" spans="1:10" x14ac:dyDescent="0.2">
      <c r="A201" s="2">
        <v>2.6194999999999999</v>
      </c>
      <c r="B201" s="2">
        <v>2.5895999999999999</v>
      </c>
      <c r="C201">
        <f t="shared" si="42"/>
        <v>2.6045499999999997</v>
      </c>
      <c r="D201">
        <f t="shared" si="43"/>
        <v>4.5457973032818302E-2</v>
      </c>
      <c r="E201">
        <f t="shared" si="44"/>
        <v>6.625792769563385E-2</v>
      </c>
      <c r="F201">
        <v>3.0798930405404979E-2</v>
      </c>
      <c r="G201" s="8">
        <f t="shared" ref="G201:G202" si="47">COS(E201)/COS(F201)-1</f>
        <v>-1.7208200945754148E-3</v>
      </c>
      <c r="H201">
        <f t="shared" si="46"/>
        <v>4.2929449093097383E-24</v>
      </c>
    </row>
    <row r="202" spans="1:10" x14ac:dyDescent="0.2">
      <c r="A202" s="2">
        <v>-2.7692000000000001</v>
      </c>
      <c r="B202" s="2">
        <v>2.7360000000000002</v>
      </c>
      <c r="C202">
        <f t="shared" si="42"/>
        <v>2.7526000000000002</v>
      </c>
      <c r="D202">
        <f t="shared" si="43"/>
        <v>4.8041932990395921E-2</v>
      </c>
      <c r="E202">
        <f t="shared" si="44"/>
        <v>7.0027393380694053E-2</v>
      </c>
      <c r="F202">
        <v>3.2674366439167636E-2</v>
      </c>
      <c r="G202" s="8">
        <f t="shared" si="47"/>
        <v>-1.9181803181251844E-3</v>
      </c>
      <c r="H202">
        <f t="shared" si="46"/>
        <v>4.7853011815656489E-24</v>
      </c>
    </row>
    <row r="206" spans="1:10" x14ac:dyDescent="0.2">
      <c r="A206" t="s">
        <v>24</v>
      </c>
      <c r="B206">
        <f>9.274009994*10^(-24)</f>
        <v>9.2740099940000005E-24</v>
      </c>
    </row>
    <row r="207" spans="1:10" x14ac:dyDescent="0.2">
      <c r="A207" t="s">
        <v>22</v>
      </c>
      <c r="B207">
        <f>1.60217662*10^(-19)</f>
        <v>1.6021766200000001E-19</v>
      </c>
    </row>
    <row r="208" spans="1:10" x14ac:dyDescent="0.2">
      <c r="A208" t="s">
        <v>20</v>
      </c>
      <c r="B208">
        <f>9.10938356*10^(-31)</f>
        <v>9.1093835599999998E-31</v>
      </c>
    </row>
    <row r="209" spans="1:10" x14ac:dyDescent="0.2">
      <c r="A209" t="s">
        <v>21</v>
      </c>
      <c r="B209">
        <f>6.62607015*10^(-31)</f>
        <v>6.6260701500000011E-31</v>
      </c>
    </row>
    <row r="210" spans="1:10" x14ac:dyDescent="0.2">
      <c r="A210" t="s">
        <v>19</v>
      </c>
      <c r="B210" s="2">
        <v>0.26900000000000002</v>
      </c>
    </row>
    <row r="211" spans="1:10" x14ac:dyDescent="0.2">
      <c r="A211" t="s">
        <v>18</v>
      </c>
      <c r="B211">
        <f>(B209/(4*PI()))*(B207/B208)*B210</f>
        <v>2.4947087280317671E-21</v>
      </c>
    </row>
    <row r="212" spans="1:10" x14ac:dyDescent="0.2">
      <c r="A212" t="s">
        <v>23</v>
      </c>
      <c r="B212">
        <f>B206*B210</f>
        <v>2.4947086883860004E-24</v>
      </c>
    </row>
    <row r="215" spans="1:10" x14ac:dyDescent="0.2">
      <c r="A215" t="s">
        <v>11</v>
      </c>
      <c r="B215">
        <v>9</v>
      </c>
    </row>
    <row r="216" spans="1:10" x14ac:dyDescent="0.2">
      <c r="A216" t="s">
        <v>12</v>
      </c>
      <c r="B216">
        <v>1.4570000000000001</v>
      </c>
    </row>
    <row r="217" spans="1:10" x14ac:dyDescent="0.2">
      <c r="A217" t="s">
        <v>13</v>
      </c>
      <c r="B217">
        <v>1</v>
      </c>
    </row>
    <row r="218" spans="1:10" x14ac:dyDescent="0.2">
      <c r="A218" t="s">
        <v>4</v>
      </c>
      <c r="B218" t="s">
        <v>5</v>
      </c>
      <c r="C218" t="s">
        <v>56</v>
      </c>
      <c r="D218" t="s">
        <v>14</v>
      </c>
      <c r="E218" t="s">
        <v>15</v>
      </c>
      <c r="F218" t="s">
        <v>16</v>
      </c>
      <c r="G218" t="s">
        <v>17</v>
      </c>
      <c r="H218" t="s">
        <v>25</v>
      </c>
      <c r="I218" t="s">
        <v>27</v>
      </c>
      <c r="J218" t="s">
        <v>26</v>
      </c>
    </row>
    <row r="219" spans="1:10" x14ac:dyDescent="0.2">
      <c r="A219" s="2">
        <v>-0.57999999999999996</v>
      </c>
      <c r="B219" s="2">
        <v>0.55100000000000005</v>
      </c>
      <c r="C219">
        <f t="shared" ref="C219:C228" si="48">(ABS(A219) + B219) / 2</f>
        <v>0.5655</v>
      </c>
      <c r="D219">
        <f>RADIANS(C219)</f>
        <v>9.8698369200279339E-3</v>
      </c>
      <c r="E219">
        <f>ASIN(($B$3/$B$4)*SIN(D219))</f>
        <v>1.4380614571473011E-2</v>
      </c>
      <c r="F219">
        <v>5.3503578182931772E-3</v>
      </c>
      <c r="G219" s="8">
        <f>COS(E219)/COS(F219)-1</f>
        <v>-8.9087400648613091E-5</v>
      </c>
      <c r="H219">
        <f>-(G219*$B$237)</f>
        <v>2.354662752691116E-25</v>
      </c>
      <c r="I219">
        <f>AVERAGE(H219:H228)</f>
        <v>2.6629227074702228E-24</v>
      </c>
      <c r="J219" s="12">
        <f>ABS(I219-B238)/B238</f>
        <v>7.5025208414650057E-3</v>
      </c>
    </row>
    <row r="220" spans="1:10" x14ac:dyDescent="0.2">
      <c r="A220" s="2">
        <v>-1.077</v>
      </c>
      <c r="B220" s="2">
        <v>1.0470999999999999</v>
      </c>
      <c r="C220">
        <f t="shared" si="48"/>
        <v>1.0620499999999999</v>
      </c>
      <c r="D220">
        <f t="shared" ref="D220:D228" si="49">RADIANS(C220)</f>
        <v>1.8536269320805775E-2</v>
      </c>
      <c r="E220">
        <f t="shared" ref="E220:E228" si="50">ASIN(($B$3/$B$4)*SIN(D220))</f>
        <v>2.7009081528198278E-2</v>
      </c>
      <c r="F220">
        <v>1.2076222779432417E-2</v>
      </c>
      <c r="G220" s="8">
        <f t="shared" ref="G220:G225" si="51">COS(E220)/COS(F220)-1</f>
        <v>-2.9182765681157186E-4</v>
      </c>
      <c r="H220">
        <f t="shared" ref="H220:H228" si="52">-(G220*$B$237)</f>
        <v>7.7132760490978769E-25</v>
      </c>
    </row>
    <row r="221" spans="1:10" x14ac:dyDescent="0.2">
      <c r="A221" s="2">
        <v>-1.4085000000000001</v>
      </c>
      <c r="B221" s="2">
        <v>1.377</v>
      </c>
      <c r="C221">
        <f t="shared" si="48"/>
        <v>1.3927499999999999</v>
      </c>
      <c r="D221">
        <f t="shared" si="49"/>
        <v>2.4308073157151024E-2</v>
      </c>
      <c r="E221">
        <f t="shared" si="50"/>
        <v>3.542078103410444E-2</v>
      </c>
      <c r="F221">
        <v>1.6128836015868692E-2</v>
      </c>
      <c r="G221" s="8">
        <f t="shared" si="51"/>
        <v>-4.9724809928930469E-4</v>
      </c>
      <c r="H221">
        <f t="shared" si="52"/>
        <v>1.3142729159437062E-24</v>
      </c>
    </row>
    <row r="222" spans="1:10" x14ac:dyDescent="0.2">
      <c r="A222" s="2">
        <v>-1.6752</v>
      </c>
      <c r="B222" s="2">
        <v>1.6435999999999999</v>
      </c>
      <c r="C222">
        <f t="shared" si="48"/>
        <v>1.6594</v>
      </c>
      <c r="D222">
        <f t="shared" si="49"/>
        <v>2.8961993607593904E-2</v>
      </c>
      <c r="E222">
        <f t="shared" si="50"/>
        <v>4.2204253639774064E-2</v>
      </c>
      <c r="F222">
        <v>1.9362571965520894E-2</v>
      </c>
      <c r="G222" s="8">
        <f t="shared" si="51"/>
        <v>-7.0315039047097461E-4</v>
      </c>
      <c r="H222">
        <f t="shared" si="52"/>
        <v>1.8584917978611979E-24</v>
      </c>
    </row>
    <row r="223" spans="1:10" x14ac:dyDescent="0.2">
      <c r="A223" s="2">
        <v>-1.9031</v>
      </c>
      <c r="B223" s="2">
        <v>1.8709</v>
      </c>
      <c r="C223">
        <f t="shared" si="48"/>
        <v>1.887</v>
      </c>
      <c r="D223">
        <f t="shared" si="49"/>
        <v>3.2934362985132998E-2</v>
      </c>
      <c r="E223">
        <f t="shared" si="50"/>
        <v>4.799511686005023E-2</v>
      </c>
      <c r="F223">
        <v>2.2129033559018709E-2</v>
      </c>
      <c r="G223" s="8">
        <f t="shared" si="51"/>
        <v>-9.0692952253101922E-4</v>
      </c>
      <c r="H223">
        <f t="shared" si="52"/>
        <v>2.3970989729993593E-24</v>
      </c>
    </row>
    <row r="224" spans="1:10" x14ac:dyDescent="0.2">
      <c r="A224" s="2">
        <v>-2.1063999999999998</v>
      </c>
      <c r="B224" s="2">
        <v>2.0724999999999998</v>
      </c>
      <c r="C224">
        <f t="shared" si="48"/>
        <v>2.0894499999999998</v>
      </c>
      <c r="D224">
        <f t="shared" si="49"/>
        <v>3.6467782055795518E-2</v>
      </c>
      <c r="E224">
        <f t="shared" si="50"/>
        <v>5.3146798242677581E-2</v>
      </c>
      <c r="F224">
        <v>2.4612699471291792E-2</v>
      </c>
      <c r="G224" s="8">
        <f t="shared" si="51"/>
        <v>-1.1094175053051325E-3</v>
      </c>
      <c r="H224">
        <f t="shared" si="52"/>
        <v>2.9322935206395675E-24</v>
      </c>
    </row>
    <row r="225" spans="1:8" x14ac:dyDescent="0.2">
      <c r="A225" s="2">
        <v>-2.2919</v>
      </c>
      <c r="B225" s="2">
        <v>2.2587999999999999</v>
      </c>
      <c r="C225">
        <f t="shared" si="48"/>
        <v>2.27535</v>
      </c>
      <c r="D225">
        <f t="shared" si="49"/>
        <v>3.9712349135252976E-2</v>
      </c>
      <c r="E225">
        <f t="shared" si="50"/>
        <v>5.7877993908297169E-2</v>
      </c>
      <c r="F225">
        <v>2.685611542747814E-2</v>
      </c>
      <c r="G225" s="8">
        <f t="shared" si="51"/>
        <v>-1.3143337363424878E-3</v>
      </c>
      <c r="H225">
        <f t="shared" si="52"/>
        <v>3.4739061540002192E-24</v>
      </c>
    </row>
    <row r="226" spans="1:8" x14ac:dyDescent="0.2">
      <c r="A226" s="2">
        <v>-2.4628999999999999</v>
      </c>
      <c r="B226" s="2">
        <v>2.4293</v>
      </c>
      <c r="C226">
        <f t="shared" si="48"/>
        <v>2.4460999999999999</v>
      </c>
      <c r="D226">
        <f t="shared" si="49"/>
        <v>4.2692498833033297E-2</v>
      </c>
      <c r="E226">
        <f t="shared" si="50"/>
        <v>6.2224222897243844E-2</v>
      </c>
      <c r="F226">
        <v>2.8881465887362644E-2</v>
      </c>
      <c r="G226" s="8">
        <f>COS(E226)/COS(F226)-1</f>
        <v>-1.5188952980456083E-3</v>
      </c>
      <c r="H226">
        <f t="shared" si="52"/>
        <v>4.0145813633651497E-24</v>
      </c>
    </row>
    <row r="227" spans="1:8" x14ac:dyDescent="0.2">
      <c r="A227" s="2">
        <v>-2.6231</v>
      </c>
      <c r="B227" s="2">
        <v>2.5886</v>
      </c>
      <c r="C227">
        <f t="shared" si="48"/>
        <v>2.6058500000000002</v>
      </c>
      <c r="D227">
        <f t="shared" si="49"/>
        <v>4.5480662313094243E-2</v>
      </c>
      <c r="E227">
        <f t="shared" si="50"/>
        <v>6.6291024468544985E-2</v>
      </c>
      <c r="F227">
        <v>3.0798930405404979E-2</v>
      </c>
      <c r="G227" s="8">
        <f t="shared" ref="G227:G228" si="53">COS(E227)/COS(F227)-1</f>
        <v>-1.7230130004645128E-3</v>
      </c>
      <c r="H227">
        <f t="shared" si="52"/>
        <v>4.5540834114116779E-24</v>
      </c>
    </row>
    <row r="228" spans="1:8" x14ac:dyDescent="0.2">
      <c r="A228" s="2">
        <v>-2.7698999999999998</v>
      </c>
      <c r="B228" s="2">
        <v>2.7385999999999999</v>
      </c>
      <c r="C228">
        <f t="shared" si="48"/>
        <v>2.7542499999999999</v>
      </c>
      <c r="D228">
        <f t="shared" si="49"/>
        <v>4.807073092305382E-2</v>
      </c>
      <c r="E228">
        <f t="shared" si="50"/>
        <v>7.0069406560629127E-2</v>
      </c>
      <c r="F228">
        <v>3.2674366439167636E-2</v>
      </c>
      <c r="G228" s="8">
        <f t="shared" si="53"/>
        <v>-1.9211224383937076E-3</v>
      </c>
      <c r="H228">
        <f t="shared" si="52"/>
        <v>5.0777050583024492E-24</v>
      </c>
    </row>
    <row r="232" spans="1:8" x14ac:dyDescent="0.2">
      <c r="A232" t="s">
        <v>24</v>
      </c>
      <c r="B232">
        <f>9.274009994*10^(-24)</f>
        <v>9.2740099940000005E-24</v>
      </c>
    </row>
    <row r="233" spans="1:8" x14ac:dyDescent="0.2">
      <c r="A233" t="s">
        <v>22</v>
      </c>
      <c r="B233">
        <f>1.60217662*10^(-19)</f>
        <v>1.6021766200000001E-19</v>
      </c>
    </row>
    <row r="234" spans="1:8" x14ac:dyDescent="0.2">
      <c r="A234" t="s">
        <v>20</v>
      </c>
      <c r="B234">
        <f>9.10938356*10^(-31)</f>
        <v>9.1093835599999998E-31</v>
      </c>
    </row>
    <row r="235" spans="1:8" x14ac:dyDescent="0.2">
      <c r="A235" t="s">
        <v>21</v>
      </c>
      <c r="B235">
        <f>6.62607015*10^(-31)</f>
        <v>6.6260701500000011E-31</v>
      </c>
    </row>
    <row r="236" spans="1:8" x14ac:dyDescent="0.2">
      <c r="A236" t="s">
        <v>19</v>
      </c>
      <c r="B236" s="2">
        <v>0.28499999999999998</v>
      </c>
    </row>
    <row r="237" spans="1:8" x14ac:dyDescent="0.2">
      <c r="A237" t="s">
        <v>18</v>
      </c>
      <c r="B237">
        <f>(B235/(4*PI()))*(B233/B234)*B236</f>
        <v>2.6430928902938791E-21</v>
      </c>
    </row>
    <row r="238" spans="1:8" x14ac:dyDescent="0.2">
      <c r="A238" t="s">
        <v>23</v>
      </c>
      <c r="B238">
        <f>B232*B236</f>
        <v>2.64309284829E-24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39"/>
  <sheetViews>
    <sheetView topLeftCell="A87" workbookViewId="0">
      <selection activeCell="I86" sqref="I86"/>
    </sheetView>
  </sheetViews>
  <sheetFormatPr baseColWidth="10" defaultColWidth="8.83203125" defaultRowHeight="15" x14ac:dyDescent="0.2"/>
  <cols>
    <col min="1" max="1" width="12.1640625" bestFit="1" customWidth="1"/>
    <col min="2" max="2" width="12.1640625" customWidth="1"/>
    <col min="3" max="3" width="12.5" customWidth="1"/>
    <col min="4" max="4" width="15.1640625" customWidth="1"/>
    <col min="5" max="5" width="16.83203125" customWidth="1"/>
    <col min="6" max="6" width="19.1640625" customWidth="1"/>
    <col min="7" max="7" width="14" customWidth="1"/>
    <col min="8" max="8" width="15.6640625" bestFit="1" customWidth="1"/>
    <col min="9" max="9" width="11.83203125" bestFit="1" customWidth="1"/>
    <col min="10" max="10" width="9.5" bestFit="1" customWidth="1"/>
  </cols>
  <sheetData>
    <row r="2" spans="1:11" x14ac:dyDescent="0.2">
      <c r="A2" s="4"/>
      <c r="B2" s="4"/>
      <c r="C2" s="4"/>
      <c r="D2" s="4"/>
    </row>
    <row r="3" spans="1:11" x14ac:dyDescent="0.2">
      <c r="A3" t="s">
        <v>11</v>
      </c>
      <c r="B3">
        <v>5</v>
      </c>
      <c r="C3" s="4"/>
      <c r="D3" s="4"/>
    </row>
    <row r="4" spans="1:11" x14ac:dyDescent="0.2">
      <c r="A4" t="s">
        <v>12</v>
      </c>
      <c r="B4">
        <v>1.4570000000000001</v>
      </c>
      <c r="C4" s="4"/>
      <c r="D4" s="4"/>
    </row>
    <row r="5" spans="1:11" x14ac:dyDescent="0.2">
      <c r="A5" t="s">
        <v>13</v>
      </c>
      <c r="B5">
        <v>1</v>
      </c>
      <c r="C5" s="4"/>
      <c r="D5" s="4"/>
    </row>
    <row r="6" spans="1:11" x14ac:dyDescent="0.2">
      <c r="A6" s="4" t="s">
        <v>3</v>
      </c>
      <c r="B6" s="4" t="s">
        <v>4</v>
      </c>
      <c r="C6" t="s">
        <v>56</v>
      </c>
      <c r="D6" s="4" t="s">
        <v>6</v>
      </c>
      <c r="E6" t="s">
        <v>14</v>
      </c>
      <c r="F6" t="s">
        <v>15</v>
      </c>
      <c r="G6" t="s">
        <v>16</v>
      </c>
      <c r="H6" t="s">
        <v>17</v>
      </c>
      <c r="I6" t="s">
        <v>25</v>
      </c>
      <c r="J6" t="s">
        <v>27</v>
      </c>
      <c r="K6" t="s">
        <v>26</v>
      </c>
    </row>
    <row r="7" spans="1:11" x14ac:dyDescent="0.2">
      <c r="A7" s="4"/>
      <c r="B7" s="4">
        <v>-0.34360000000000002</v>
      </c>
      <c r="C7" s="4">
        <v>0.31919999999999998</v>
      </c>
      <c r="D7" s="5">
        <v>0.33139999999999997</v>
      </c>
      <c r="E7">
        <f>RADIANS(D7)</f>
        <v>5.784021141109208E-3</v>
      </c>
      <c r="F7">
        <f>ASIN(($B$4/$B$5)*SIN(E7))</f>
        <v>8.4273715659539863E-3</v>
      </c>
      <c r="G7">
        <v>5.3503578182931772E-3</v>
      </c>
      <c r="H7" s="8">
        <f>COS(F7)/COS(G7)-1</f>
        <v>-2.1197258743943515E-5</v>
      </c>
      <c r="I7" s="11">
        <f>-(H7*$B$24)</f>
        <v>3.8825259530764152E-26</v>
      </c>
      <c r="J7" s="11">
        <f>AVERAGE(I7:I16)</f>
        <v>1.7250796632746484E-24</v>
      </c>
      <c r="K7" s="12">
        <f>ABS(J7-B25)/B25</f>
        <v>5.816571481014926E-2</v>
      </c>
    </row>
    <row r="8" spans="1:11" x14ac:dyDescent="0.2">
      <c r="A8" s="4"/>
      <c r="B8" s="4">
        <v>-0.97589999999999999</v>
      </c>
      <c r="C8" s="4">
        <v>0.95030000000000003</v>
      </c>
      <c r="D8" s="5">
        <v>0.96309999999999996</v>
      </c>
      <c r="E8">
        <f t="shared" ref="E8:E16" si="0">RADIANS(D8)</f>
        <v>1.6809266025957389E-2</v>
      </c>
      <c r="F8">
        <f t="shared" ref="F8:F16" si="1">ASIN(($B$4/$B$5)*SIN(E8))</f>
        <v>2.4492395949483731E-2</v>
      </c>
      <c r="G8">
        <v>1.2076222779432417E-2</v>
      </c>
      <c r="H8" s="8">
        <f>COS(F8)/COS(G8)-1</f>
        <v>-2.2702359775772507E-4</v>
      </c>
      <c r="I8" s="11">
        <f>-(H8*$B$24)</f>
        <v>4.1582028171779013E-25</v>
      </c>
    </row>
    <row r="9" spans="1:11" x14ac:dyDescent="0.2">
      <c r="A9" s="4"/>
      <c r="B9" s="4">
        <v>-1.3317000000000001</v>
      </c>
      <c r="C9" s="4">
        <v>1.3070999999999999</v>
      </c>
      <c r="D9" s="5">
        <v>1.3193999999999999</v>
      </c>
      <c r="E9">
        <f t="shared" si="0"/>
        <v>2.3027874150813182E-2</v>
      </c>
      <c r="F9">
        <f t="shared" si="1"/>
        <v>3.3554943830428147E-2</v>
      </c>
      <c r="G9">
        <v>1.6128836015868692E-2</v>
      </c>
      <c r="H9" s="8">
        <f t="shared" ref="H9:H13" si="2">COS(F9)/COS(G9)-1</f>
        <v>-4.3290375819582394E-4</v>
      </c>
      <c r="I9" s="11">
        <f t="shared" ref="I9:I16" si="3">-(H9*$B$24)</f>
        <v>7.9291388414071723E-25</v>
      </c>
    </row>
    <row r="10" spans="1:11" x14ac:dyDescent="0.2">
      <c r="A10" s="4"/>
      <c r="B10" s="4">
        <v>-1.6102000000000001</v>
      </c>
      <c r="C10" s="4">
        <v>1.5853999999999999</v>
      </c>
      <c r="D10" s="5">
        <v>1.5978000000000001</v>
      </c>
      <c r="E10">
        <f t="shared" si="0"/>
        <v>2.7886870788365398E-2</v>
      </c>
      <c r="F10">
        <f t="shared" si="1"/>
        <v>4.0637088192943198E-2</v>
      </c>
      <c r="G10">
        <v>1.9362571965520894E-2</v>
      </c>
      <c r="H10" s="8">
        <f t="shared" si="2"/>
        <v>-6.3824374618814961E-4</v>
      </c>
      <c r="I10" s="11">
        <f t="shared" si="3"/>
        <v>1.1690180975274558E-24</v>
      </c>
    </row>
    <row r="11" spans="1:11" x14ac:dyDescent="0.2">
      <c r="A11" s="4"/>
      <c r="B11" s="4">
        <v>-1.8459000000000001</v>
      </c>
      <c r="C11" s="4">
        <v>1.8193999999999999</v>
      </c>
      <c r="D11" s="5">
        <v>1.8326499999999999</v>
      </c>
      <c r="E11">
        <f t="shared" si="0"/>
        <v>3.1985776536674081E-2</v>
      </c>
      <c r="F11">
        <f t="shared" si="1"/>
        <v>4.661220747072907E-2</v>
      </c>
      <c r="G11">
        <v>2.2129033559018709E-2</v>
      </c>
      <c r="H11" s="8">
        <f t="shared" si="2"/>
        <v>-8.4152122853686784E-4</v>
      </c>
      <c r="I11" s="11">
        <f t="shared" si="3"/>
        <v>1.5413445905087381E-24</v>
      </c>
    </row>
    <row r="12" spans="1:11" x14ac:dyDescent="0.2">
      <c r="A12" s="4"/>
      <c r="B12" s="4">
        <v>-2.0545</v>
      </c>
      <c r="C12" s="4">
        <v>2.0274999999999999</v>
      </c>
      <c r="D12" s="5">
        <v>2.0409999999999999</v>
      </c>
      <c r="E12">
        <f t="shared" si="0"/>
        <v>3.5622170033204267E-2</v>
      </c>
      <c r="F12">
        <f t="shared" si="1"/>
        <v>5.1913841025488253E-2</v>
      </c>
      <c r="G12">
        <v>2.4612699471291792E-2</v>
      </c>
      <c r="H12" s="8">
        <f>COS(F12)/COS(G12)-1</f>
        <v>-1.0446600420314089E-3</v>
      </c>
      <c r="I12" s="11">
        <f t="shared" si="3"/>
        <v>1.9134170952589341E-24</v>
      </c>
    </row>
    <row r="13" spans="1:11" x14ac:dyDescent="0.2">
      <c r="B13">
        <v>-2.2446000000000002</v>
      </c>
      <c r="C13">
        <v>2.2159</v>
      </c>
      <c r="D13" s="3">
        <f t="shared" ref="D13:D16" si="4">AVERAGE(ABS(B13),C13)</f>
        <v>2.2302499999999998</v>
      </c>
      <c r="E13">
        <f t="shared" si="0"/>
        <v>3.892520564260353E-2</v>
      </c>
      <c r="F13">
        <f t="shared" si="1"/>
        <v>5.673012806197486E-2</v>
      </c>
      <c r="G13">
        <v>2.685611542747814E-2</v>
      </c>
      <c r="H13" s="8">
        <f t="shared" si="2"/>
        <v>-1.2485686439074328E-3</v>
      </c>
      <c r="I13" s="11">
        <f t="shared" si="3"/>
        <v>2.2868995574973061E-24</v>
      </c>
    </row>
    <row r="14" spans="1:11" x14ac:dyDescent="0.2">
      <c r="B14">
        <v>-2.4192999999999998</v>
      </c>
      <c r="C14">
        <v>2.3896000000000002</v>
      </c>
      <c r="D14" s="3">
        <f t="shared" si="4"/>
        <v>2.4044499999999998</v>
      </c>
      <c r="E14">
        <f t="shared" si="0"/>
        <v>4.1965569199577654E-2</v>
      </c>
      <c r="F14">
        <f t="shared" si="1"/>
        <v>6.116401808866237E-2</v>
      </c>
      <c r="G14">
        <v>2.8881465887362644E-2</v>
      </c>
      <c r="H14" s="8">
        <f>COS(F14)/COS(G14)-1</f>
        <v>-1.4535011104995776E-3</v>
      </c>
      <c r="I14" s="11">
        <f t="shared" si="3"/>
        <v>2.6622573477584185E-24</v>
      </c>
    </row>
    <row r="15" spans="1:11" x14ac:dyDescent="0.2">
      <c r="B15">
        <f>-2.5798</f>
        <v>-2.5798000000000001</v>
      </c>
      <c r="C15">
        <v>2.5520999999999998</v>
      </c>
      <c r="D15" s="3">
        <f t="shared" si="4"/>
        <v>2.56595</v>
      </c>
      <c r="E15">
        <f t="shared" si="0"/>
        <v>4.4784275941548497E-2</v>
      </c>
      <c r="F15">
        <f t="shared" si="1"/>
        <v>6.5275225600392575E-2</v>
      </c>
      <c r="G15">
        <v>3.0798930405404979E-2</v>
      </c>
      <c r="H15" s="8">
        <f t="shared" ref="H15:H16" si="5">COS(F15)/COS(G15)-1</f>
        <v>-1.6562070810537399E-3</v>
      </c>
      <c r="I15" s="11">
        <f t="shared" si="3"/>
        <v>3.0335370500194214E-24</v>
      </c>
    </row>
    <row r="16" spans="1:11" x14ac:dyDescent="0.2">
      <c r="B16">
        <v>-2.7301000000000002</v>
      </c>
      <c r="C16">
        <v>2.7031999999999998</v>
      </c>
      <c r="D16" s="3">
        <f t="shared" si="4"/>
        <v>2.71665</v>
      </c>
      <c r="E16">
        <f t="shared" si="0"/>
        <v>4.7414487124303954E-2</v>
      </c>
      <c r="F16">
        <f t="shared" si="1"/>
        <v>6.9112031534728433E-2</v>
      </c>
      <c r="G16">
        <v>3.2674366439167636E-2</v>
      </c>
      <c r="H16" s="8">
        <f t="shared" si="5"/>
        <v>-1.8545162353080791E-3</v>
      </c>
      <c r="I16" s="11">
        <f t="shared" si="3"/>
        <v>3.3967634687869393E-24</v>
      </c>
    </row>
    <row r="19" spans="1:10" x14ac:dyDescent="0.2">
      <c r="A19" t="s">
        <v>24</v>
      </c>
      <c r="B19">
        <f>9.274009994*10^(-24)</f>
        <v>9.2740099940000005E-24</v>
      </c>
    </row>
    <row r="20" spans="1:10" x14ac:dyDescent="0.2">
      <c r="A20" t="s">
        <v>22</v>
      </c>
      <c r="B20">
        <f>1.60217662*10^(-19)</f>
        <v>1.6021766200000001E-19</v>
      </c>
    </row>
    <row r="21" spans="1:10" x14ac:dyDescent="0.2">
      <c r="A21" t="s">
        <v>20</v>
      </c>
      <c r="B21">
        <f>9.10938356*10^(-31)</f>
        <v>9.1093835599999998E-31</v>
      </c>
    </row>
    <row r="22" spans="1:10" x14ac:dyDescent="0.2">
      <c r="A22" t="s">
        <v>21</v>
      </c>
      <c r="B22">
        <f>6.62607015*10^(-31)</f>
        <v>6.6260701500000011E-31</v>
      </c>
    </row>
    <row r="23" spans="1:10" x14ac:dyDescent="0.2">
      <c r="A23" t="s">
        <v>19</v>
      </c>
      <c r="B23" s="2">
        <v>0.19750000000000001</v>
      </c>
    </row>
    <row r="24" spans="1:10" x14ac:dyDescent="0.2">
      <c r="A24" t="s">
        <v>18</v>
      </c>
      <c r="B24">
        <f>(B22/(4*PI()))*(B20/B21)*B23</f>
        <v>1.8316170029229517E-21</v>
      </c>
    </row>
    <row r="25" spans="1:10" x14ac:dyDescent="0.2">
      <c r="A25" t="s">
        <v>23</v>
      </c>
      <c r="B25">
        <f>B19*B23</f>
        <v>1.8316169738150003E-24</v>
      </c>
    </row>
    <row r="29" spans="1:10" x14ac:dyDescent="0.2">
      <c r="A29" t="s">
        <v>11</v>
      </c>
      <c r="B29">
        <v>1</v>
      </c>
    </row>
    <row r="30" spans="1:10" x14ac:dyDescent="0.2">
      <c r="A30" t="s">
        <v>12</v>
      </c>
      <c r="B30">
        <v>1.4570000000000001</v>
      </c>
    </row>
    <row r="31" spans="1:10" x14ac:dyDescent="0.2">
      <c r="A31" t="s">
        <v>13</v>
      </c>
      <c r="B31">
        <v>1</v>
      </c>
    </row>
    <row r="32" spans="1:10" x14ac:dyDescent="0.2">
      <c r="A32" t="s">
        <v>4</v>
      </c>
      <c r="B32" t="s">
        <v>5</v>
      </c>
      <c r="C32" t="s">
        <v>56</v>
      </c>
      <c r="D32" t="s">
        <v>14</v>
      </c>
      <c r="E32" t="s">
        <v>15</v>
      </c>
      <c r="F32" t="s">
        <v>16</v>
      </c>
      <c r="G32" t="s">
        <v>17</v>
      </c>
      <c r="H32" t="s">
        <v>25</v>
      </c>
      <c r="I32" t="s">
        <v>27</v>
      </c>
      <c r="J32" t="s">
        <v>26</v>
      </c>
    </row>
    <row r="33" spans="1:10" x14ac:dyDescent="0.2">
      <c r="A33" s="2">
        <v>-0.43030000000000002</v>
      </c>
      <c r="B33" s="2">
        <v>0.40039999999999998</v>
      </c>
      <c r="C33">
        <f t="shared" ref="C33:C42" si="6">(ABS(A33) + B33) / 2</f>
        <v>0.41535</v>
      </c>
      <c r="D33">
        <f>RADIANS(C33)</f>
        <v>7.2492250481584475E-3</v>
      </c>
      <c r="E33">
        <f>ASIN(($B$30/$B$31)*SIN(D33))</f>
        <v>1.0562224773522625E-2</v>
      </c>
      <c r="F33">
        <v>5.3503578182931772E-3</v>
      </c>
      <c r="G33" s="8">
        <f>COS(E33)/COS(F33)-1</f>
        <v>-4.1467240790127313E-5</v>
      </c>
      <c r="H33">
        <f>-(G33*$B$51)</f>
        <v>1.7074801956051053E-26</v>
      </c>
      <c r="I33">
        <f>AVERAGE(H33:H42)</f>
        <v>3.9553582377271944E-25</v>
      </c>
      <c r="J33" s="12">
        <f>ABS(I33-B52)/B52</f>
        <v>3.9416120410795792E-2</v>
      </c>
    </row>
    <row r="34" spans="1:10" x14ac:dyDescent="0.2">
      <c r="A34" s="2">
        <v>-1.0078</v>
      </c>
      <c r="B34" s="2">
        <v>0.97689999999999999</v>
      </c>
      <c r="C34">
        <f t="shared" si="6"/>
        <v>0.99235000000000007</v>
      </c>
      <c r="D34">
        <f t="shared" ref="D34:D42" si="7">RADIANS(C34)</f>
        <v>1.7319774832165732E-2</v>
      </c>
      <c r="E34">
        <f t="shared" ref="E34:E42" si="8">ASIN(($B$30/$B$31)*SIN(D34))</f>
        <v>2.5236328945123791E-2</v>
      </c>
      <c r="F34">
        <v>1.2076222779432417E-2</v>
      </c>
      <c r="G34" s="8">
        <f t="shared" ref="G34:G39" si="9">COS(E34)/COS(F34)-1</f>
        <v>-2.4552045979686632E-4</v>
      </c>
      <c r="H34">
        <f t="shared" ref="H34:H42" si="10">-(G34*$B$51)</f>
        <v>1.0109698999283756E-25</v>
      </c>
    </row>
    <row r="35" spans="1:10" x14ac:dyDescent="0.2">
      <c r="A35" s="2">
        <v>-1.3563000000000001</v>
      </c>
      <c r="B35" s="2">
        <v>1.3267</v>
      </c>
      <c r="C35">
        <f t="shared" si="6"/>
        <v>1.3414999999999999</v>
      </c>
      <c r="D35">
        <f t="shared" si="7"/>
        <v>2.3413591915503931E-2</v>
      </c>
      <c r="E35">
        <f t="shared" si="8"/>
        <v>3.4117104882704814E-2</v>
      </c>
      <c r="F35">
        <v>1.6128836015868692E-2</v>
      </c>
      <c r="G35" s="8">
        <f t="shared" si="9"/>
        <v>-4.5192389759440843E-4</v>
      </c>
      <c r="H35">
        <f t="shared" si="10"/>
        <v>1.8608691833840071E-25</v>
      </c>
    </row>
    <row r="36" spans="1:10" x14ac:dyDescent="0.2">
      <c r="A36" s="2">
        <v>-1.6315</v>
      </c>
      <c r="B36" s="2">
        <v>1.6008</v>
      </c>
      <c r="C36">
        <f t="shared" si="6"/>
        <v>1.61615</v>
      </c>
      <c r="D36">
        <f t="shared" si="7"/>
        <v>2.8207138706106357E-2</v>
      </c>
      <c r="E36">
        <f t="shared" si="8"/>
        <v>4.1103924876933547E-2</v>
      </c>
      <c r="F36">
        <v>1.9362571965520894E-2</v>
      </c>
      <c r="G36" s="8">
        <f t="shared" si="9"/>
        <v>-6.5732186254585656E-4</v>
      </c>
      <c r="H36">
        <f t="shared" si="10"/>
        <v>2.7066282710146659E-25</v>
      </c>
    </row>
    <row r="37" spans="1:10" x14ac:dyDescent="0.2">
      <c r="A37" s="2">
        <v>-1.8662000000000001</v>
      </c>
      <c r="B37" s="2">
        <v>1.8329</v>
      </c>
      <c r="C37">
        <f t="shared" si="6"/>
        <v>1.84955</v>
      </c>
      <c r="D37">
        <f t="shared" si="7"/>
        <v>3.2280737180261122E-2</v>
      </c>
      <c r="E37">
        <f t="shared" si="8"/>
        <v>4.7042214648040218E-2</v>
      </c>
      <c r="F37">
        <v>2.2129033559018709E-2</v>
      </c>
      <c r="G37" s="8">
        <f t="shared" si="9"/>
        <v>-8.6165483648226182E-4</v>
      </c>
      <c r="H37">
        <f t="shared" si="10"/>
        <v>3.548002087206874E-25</v>
      </c>
    </row>
    <row r="38" spans="1:10" x14ac:dyDescent="0.2">
      <c r="A38" s="2">
        <v>-2.073</v>
      </c>
      <c r="B38" s="2">
        <v>2.0402999999999998</v>
      </c>
      <c r="C38">
        <f t="shared" si="6"/>
        <v>2.0566499999999999</v>
      </c>
      <c r="D38">
        <f t="shared" si="7"/>
        <v>3.5895314061141374E-2</v>
      </c>
      <c r="E38">
        <f t="shared" si="8"/>
        <v>5.2312098125788277E-2</v>
      </c>
      <c r="F38">
        <v>2.4612699471291792E-2</v>
      </c>
      <c r="G38" s="8">
        <f t="shared" si="9"/>
        <v>-1.065411294419838E-3</v>
      </c>
      <c r="H38">
        <f t="shared" si="10"/>
        <v>4.3870020062414867E-25</v>
      </c>
    </row>
    <row r="39" spans="1:10" x14ac:dyDescent="0.2">
      <c r="A39" s="2">
        <v>-2.2618</v>
      </c>
      <c r="B39" s="2">
        <v>2.2282000000000002</v>
      </c>
      <c r="C39">
        <f t="shared" si="6"/>
        <v>2.2450000000000001</v>
      </c>
      <c r="D39">
        <f t="shared" si="7"/>
        <v>3.9182641707272703E-2</v>
      </c>
      <c r="E39">
        <f t="shared" si="8"/>
        <v>5.710553433105816E-2</v>
      </c>
      <c r="F39">
        <v>2.685611542747814E-2</v>
      </c>
      <c r="G39" s="8">
        <f t="shared" si="9"/>
        <v>-1.2699321229920901E-3</v>
      </c>
      <c r="H39">
        <f t="shared" si="10"/>
        <v>5.2291493440479845E-25</v>
      </c>
    </row>
    <row r="40" spans="1:10" x14ac:dyDescent="0.2">
      <c r="A40" s="2">
        <v>-2.4243999999999999</v>
      </c>
      <c r="B40" s="2">
        <v>2.3996</v>
      </c>
      <c r="C40">
        <f t="shared" si="6"/>
        <v>2.4119999999999999</v>
      </c>
      <c r="D40">
        <f t="shared" si="7"/>
        <v>4.2097341558103227E-2</v>
      </c>
      <c r="E40">
        <f t="shared" si="8"/>
        <v>6.1356201349192126E-2</v>
      </c>
      <c r="F40">
        <v>2.8881465887362644E-2</v>
      </c>
      <c r="G40" s="8">
        <f>COS(E40)/COS(F40)-1</f>
        <v>-1.4652718246283003E-3</v>
      </c>
      <c r="H40">
        <f t="shared" si="10"/>
        <v>6.0334919180989905E-25</v>
      </c>
    </row>
    <row r="41" spans="1:10" x14ac:dyDescent="0.2">
      <c r="A41" s="2">
        <v>-2.5941999999999998</v>
      </c>
      <c r="B41" s="2">
        <v>2.5604</v>
      </c>
      <c r="C41">
        <f t="shared" si="6"/>
        <v>2.5773000000000001</v>
      </c>
      <c r="D41">
        <f t="shared" si="7"/>
        <v>4.4982370811649859E-2</v>
      </c>
      <c r="E41">
        <f t="shared" si="8"/>
        <v>6.5564177254980066E-2</v>
      </c>
      <c r="F41">
        <v>3.0798930405404979E-2</v>
      </c>
      <c r="G41" s="8">
        <f t="shared" ref="G41:G42" si="11">COS(E41)/COS(F41)-1</f>
        <v>-1.675105694096346E-3</v>
      </c>
      <c r="H41">
        <f t="shared" si="10"/>
        <v>6.897516554551719E-25</v>
      </c>
    </row>
    <row r="42" spans="1:10" x14ac:dyDescent="0.2">
      <c r="A42" s="2">
        <v>2.7410999999999999</v>
      </c>
      <c r="B42" s="2">
        <v>2.7122999999999999</v>
      </c>
      <c r="C42">
        <f t="shared" si="6"/>
        <v>2.7267000000000001</v>
      </c>
      <c r="D42">
        <f t="shared" si="7"/>
        <v>4.7589892714129389E-2</v>
      </c>
      <c r="E42">
        <f t="shared" si="8"/>
        <v>6.9367922344336766E-2</v>
      </c>
      <c r="F42">
        <v>3.2674366439167636E-2</v>
      </c>
      <c r="G42" s="8">
        <f t="shared" si="11"/>
        <v>-1.8722294098905135E-3</v>
      </c>
      <c r="H42">
        <f t="shared" si="10"/>
        <v>7.7092050932373348E-25</v>
      </c>
    </row>
    <row r="46" spans="1:10" x14ac:dyDescent="0.2">
      <c r="A46" t="s">
        <v>24</v>
      </c>
      <c r="B46">
        <f>9.274009994*10^(-24)</f>
        <v>9.2740099940000005E-24</v>
      </c>
    </row>
    <row r="47" spans="1:10" x14ac:dyDescent="0.2">
      <c r="A47" t="s">
        <v>22</v>
      </c>
      <c r="B47">
        <f>1.60217662*10^(-19)</f>
        <v>1.6021766200000001E-19</v>
      </c>
    </row>
    <row r="48" spans="1:10" x14ac:dyDescent="0.2">
      <c r="A48" t="s">
        <v>20</v>
      </c>
      <c r="B48">
        <f>9.10938356*10^(-31)</f>
        <v>9.1093835599999998E-31</v>
      </c>
    </row>
    <row r="49" spans="1:10" x14ac:dyDescent="0.2">
      <c r="A49" t="s">
        <v>21</v>
      </c>
      <c r="B49">
        <f>6.62607015*10^(-31)</f>
        <v>6.6260701500000011E-31</v>
      </c>
    </row>
    <row r="50" spans="1:10" x14ac:dyDescent="0.2">
      <c r="A50" t="s">
        <v>19</v>
      </c>
      <c r="B50" s="2">
        <v>4.4400000000000002E-2</v>
      </c>
    </row>
    <row r="51" spans="1:10" x14ac:dyDescent="0.2">
      <c r="A51" t="s">
        <v>18</v>
      </c>
      <c r="B51">
        <f>(B49/(4*PI()))*(B47/B48)*B50</f>
        <v>4.117660502773623E-22</v>
      </c>
    </row>
    <row r="52" spans="1:10" x14ac:dyDescent="0.2">
      <c r="A52" t="s">
        <v>23</v>
      </c>
      <c r="B52">
        <f>B46*B50</f>
        <v>4.1176604373360003E-25</v>
      </c>
    </row>
    <row r="55" spans="1:10" x14ac:dyDescent="0.2">
      <c r="A55" t="s">
        <v>11</v>
      </c>
      <c r="B55">
        <v>2</v>
      </c>
    </row>
    <row r="56" spans="1:10" x14ac:dyDescent="0.2">
      <c r="A56" t="s">
        <v>12</v>
      </c>
      <c r="B56">
        <v>1.4570000000000001</v>
      </c>
    </row>
    <row r="57" spans="1:10" x14ac:dyDescent="0.2">
      <c r="A57" t="s">
        <v>13</v>
      </c>
      <c r="B57">
        <v>1</v>
      </c>
    </row>
    <row r="58" spans="1:10" x14ac:dyDescent="0.2">
      <c r="A58" t="s">
        <v>4</v>
      </c>
      <c r="B58" t="s">
        <v>5</v>
      </c>
      <c r="C58" t="s">
        <v>56</v>
      </c>
      <c r="D58" t="s">
        <v>14</v>
      </c>
      <c r="E58" t="s">
        <v>15</v>
      </c>
      <c r="F58" t="s">
        <v>16</v>
      </c>
      <c r="G58" t="s">
        <v>17</v>
      </c>
      <c r="H58" t="s">
        <v>25</v>
      </c>
      <c r="I58" t="s">
        <v>27</v>
      </c>
      <c r="J58" t="s">
        <v>26</v>
      </c>
    </row>
    <row r="59" spans="1:10" x14ac:dyDescent="0.2">
      <c r="A59" s="2">
        <v>-0.41</v>
      </c>
      <c r="B59" s="2">
        <v>0.3795</v>
      </c>
      <c r="C59">
        <f t="shared" ref="C59:C68" si="12">(ABS(A59) + B59) / 2</f>
        <v>0.39474999999999999</v>
      </c>
      <c r="D59">
        <f>RADIANS(C59)</f>
        <v>6.8896872222476155E-3</v>
      </c>
      <c r="E59">
        <f>ASIN(($B$56/$B$57)*SIN(D59))</f>
        <v>1.0038363458578966E-2</v>
      </c>
      <c r="F59">
        <v>5.3503578182931772E-3</v>
      </c>
      <c r="G59" s="8">
        <f>COS(E59)/COS(F59)-1</f>
        <v>-3.6071333413434381E-5</v>
      </c>
      <c r="H59">
        <f>-(G59*$B$77)</f>
        <v>2.7498029957305641E-26</v>
      </c>
      <c r="I59">
        <f>AVERAGE(H59:H68)</f>
        <v>7.2933371289353716E-25</v>
      </c>
      <c r="J59" s="12">
        <f>ABS(I59-B78)/B78</f>
        <v>4.3275464228768566E-2</v>
      </c>
    </row>
    <row r="60" spans="1:10" x14ac:dyDescent="0.2">
      <c r="A60" s="2">
        <v>-1.0008999999999999</v>
      </c>
      <c r="B60" s="2">
        <v>0.97370000000000001</v>
      </c>
      <c r="C60">
        <f t="shared" si="12"/>
        <v>0.98729999999999996</v>
      </c>
      <c r="D60">
        <f t="shared" ref="D60:D68" si="13">RADIANS(C60)</f>
        <v>1.7231635704940015E-2</v>
      </c>
      <c r="E60">
        <f t="shared" ref="E60:E68" si="14">ASIN(($B$56/$B$57)*SIN(D60))</f>
        <v>2.5107888709544147E-2</v>
      </c>
      <c r="F60">
        <v>1.2076222779432417E-2</v>
      </c>
      <c r="G60" s="8">
        <f t="shared" ref="G60:G65" si="15">COS(E60)/COS(F60)-1</f>
        <v>-2.4228745389587303E-4</v>
      </c>
      <c r="H60">
        <f t="shared" ref="H60:H68" si="16">-(G60*$B$77)</f>
        <v>1.8470145223482857E-25</v>
      </c>
    </row>
    <row r="61" spans="1:10" x14ac:dyDescent="0.2">
      <c r="A61" s="2">
        <v>-1.3503000000000001</v>
      </c>
      <c r="B61" s="2">
        <v>1.3205</v>
      </c>
      <c r="C61">
        <f t="shared" si="12"/>
        <v>1.3353999999999999</v>
      </c>
      <c r="D61">
        <f t="shared" si="13"/>
        <v>2.3307126831132275E-2</v>
      </c>
      <c r="E61">
        <f t="shared" si="14"/>
        <v>3.3961937691074286E-2</v>
      </c>
      <c r="F61">
        <v>1.6128836015868692E-2</v>
      </c>
      <c r="G61" s="8">
        <f t="shared" si="15"/>
        <v>-4.4664241366920709E-4</v>
      </c>
      <c r="H61">
        <f t="shared" si="16"/>
        <v>3.4048606771783311E-25</v>
      </c>
    </row>
    <row r="62" spans="1:10" x14ac:dyDescent="0.2">
      <c r="A62" s="2">
        <v>-1.6273</v>
      </c>
      <c r="B62" s="2">
        <v>1.5960000000000001</v>
      </c>
      <c r="C62">
        <f t="shared" si="12"/>
        <v>1.61165</v>
      </c>
      <c r="D62">
        <f t="shared" si="13"/>
        <v>2.8128598889766612E-2</v>
      </c>
      <c r="E62">
        <f t="shared" si="14"/>
        <v>4.0989441329390551E-2</v>
      </c>
      <c r="F62">
        <v>1.9362571965520894E-2</v>
      </c>
      <c r="G62" s="8">
        <f t="shared" si="15"/>
        <v>-6.5262313132008476E-4</v>
      </c>
      <c r="H62">
        <f t="shared" si="16"/>
        <v>4.9751003685343565E-25</v>
      </c>
    </row>
    <row r="63" spans="1:10" x14ac:dyDescent="0.2">
      <c r="A63" s="2">
        <v>-1.8601000000000001</v>
      </c>
      <c r="B63" s="2">
        <v>1.8289</v>
      </c>
      <c r="C63">
        <f t="shared" si="12"/>
        <v>1.8445</v>
      </c>
      <c r="D63">
        <f t="shared" si="13"/>
        <v>3.2192598053035412E-2</v>
      </c>
      <c r="E63">
        <f t="shared" si="14"/>
        <v>4.6913720898137695E-2</v>
      </c>
      <c r="F63">
        <v>2.2129033559018709E-2</v>
      </c>
      <c r="G63" s="8">
        <f t="shared" si="15"/>
        <v>-8.5561920356180821E-4</v>
      </c>
      <c r="H63">
        <f t="shared" si="16"/>
        <v>6.5225874025565973E-25</v>
      </c>
    </row>
    <row r="64" spans="1:10" x14ac:dyDescent="0.2">
      <c r="A64" s="2">
        <v>-2.0697999999999999</v>
      </c>
      <c r="B64" s="2">
        <v>2.0366</v>
      </c>
      <c r="C64">
        <f t="shared" si="12"/>
        <v>2.0531999999999999</v>
      </c>
      <c r="D64">
        <f t="shared" si="13"/>
        <v>3.5835100201947571E-2</v>
      </c>
      <c r="E64">
        <f t="shared" si="14"/>
        <v>5.2224303052803948E-2</v>
      </c>
      <c r="F64">
        <v>2.4612699471291792E-2</v>
      </c>
      <c r="G64" s="8">
        <f t="shared" si="15"/>
        <v>-1.0608231034399118E-3</v>
      </c>
      <c r="H64">
        <f t="shared" si="16"/>
        <v>8.0869052284405928E-25</v>
      </c>
    </row>
    <row r="65" spans="1:8" x14ac:dyDescent="0.2">
      <c r="A65" s="2">
        <v>-2.2565</v>
      </c>
      <c r="B65" s="2">
        <v>2.2241</v>
      </c>
      <c r="C65">
        <f t="shared" si="12"/>
        <v>2.2403</v>
      </c>
      <c r="D65">
        <f t="shared" si="13"/>
        <v>3.9100611232428965E-2</v>
      </c>
      <c r="E65">
        <f t="shared" si="14"/>
        <v>5.6985912888435068E-2</v>
      </c>
      <c r="F65">
        <v>2.685611542747814E-2</v>
      </c>
      <c r="G65" s="8">
        <f t="shared" si="15"/>
        <v>-1.263109471434376E-3</v>
      </c>
      <c r="H65">
        <f t="shared" si="16"/>
        <v>9.6289820192571596E-25</v>
      </c>
    </row>
    <row r="66" spans="1:8" x14ac:dyDescent="0.2">
      <c r="A66" s="2">
        <v>-2.4306000000000001</v>
      </c>
      <c r="B66" s="2">
        <v>2.3965999999999998</v>
      </c>
      <c r="C66">
        <f t="shared" si="12"/>
        <v>2.4135999999999997</v>
      </c>
      <c r="D66">
        <f t="shared" si="13"/>
        <v>4.2125266826135134E-2</v>
      </c>
      <c r="E66">
        <f t="shared" si="14"/>
        <v>6.1396929081847039E-2</v>
      </c>
      <c r="F66">
        <v>2.8881465887362644E-2</v>
      </c>
      <c r="G66" s="8">
        <f>COS(E66)/COS(F66)-1</f>
        <v>-1.467771026084308E-3</v>
      </c>
      <c r="H66">
        <f t="shared" si="16"/>
        <v>1.1189165419290985E-24</v>
      </c>
    </row>
    <row r="67" spans="1:8" x14ac:dyDescent="0.2">
      <c r="A67" s="2">
        <v>-2.5907</v>
      </c>
      <c r="B67" s="2">
        <v>2.5568</v>
      </c>
      <c r="C67">
        <f t="shared" si="12"/>
        <v>2.57375</v>
      </c>
      <c r="D67">
        <f t="shared" si="13"/>
        <v>4.4920411623204058E-2</v>
      </c>
      <c r="E67">
        <f t="shared" si="14"/>
        <v>6.5473799994089449E-2</v>
      </c>
      <c r="F67">
        <v>3.0798930405404979E-2</v>
      </c>
      <c r="G67" s="8">
        <f t="shared" ref="G67:G68" si="17">COS(E67)/COS(F67)-1</f>
        <v>-1.6691856954261786E-3</v>
      </c>
      <c r="H67">
        <f t="shared" si="16"/>
        <v>1.2724597045264868E-24</v>
      </c>
    </row>
    <row r="68" spans="1:8" x14ac:dyDescent="0.2">
      <c r="A68" s="2">
        <v>-2.7448000000000001</v>
      </c>
      <c r="B68" s="2">
        <v>2.7096</v>
      </c>
      <c r="C68">
        <f t="shared" si="12"/>
        <v>2.7271999999999998</v>
      </c>
      <c r="D68">
        <f t="shared" si="13"/>
        <v>4.7598619360389352E-2</v>
      </c>
      <c r="E68">
        <f t="shared" si="14"/>
        <v>6.9380653293294334E-2</v>
      </c>
      <c r="F68">
        <v>3.2674366439167636E-2</v>
      </c>
      <c r="G68" s="8">
        <f t="shared" si="17"/>
        <v>-1.8731123734250232E-3</v>
      </c>
      <c r="H68">
        <f t="shared" si="16"/>
        <v>1.4279178306909488E-24</v>
      </c>
    </row>
    <row r="72" spans="1:8" x14ac:dyDescent="0.2">
      <c r="A72" t="s">
        <v>24</v>
      </c>
      <c r="B72">
        <f>9.274009994*10^(-24)</f>
        <v>9.2740099940000005E-24</v>
      </c>
    </row>
    <row r="73" spans="1:8" x14ac:dyDescent="0.2">
      <c r="A73" t="s">
        <v>22</v>
      </c>
      <c r="B73">
        <f>1.60217662*10^(-19)</f>
        <v>1.6021766200000001E-19</v>
      </c>
    </row>
    <row r="74" spans="1:8" x14ac:dyDescent="0.2">
      <c r="A74" t="s">
        <v>20</v>
      </c>
      <c r="B74">
        <f>9.10938356*10^(-31)</f>
        <v>9.1093835599999998E-31</v>
      </c>
    </row>
    <row r="75" spans="1:8" x14ac:dyDescent="0.2">
      <c r="A75" t="s">
        <v>21</v>
      </c>
      <c r="B75">
        <f>6.62607015*10^(-31)</f>
        <v>6.6260701500000011E-31</v>
      </c>
    </row>
    <row r="76" spans="1:8" x14ac:dyDescent="0.2">
      <c r="A76" t="s">
        <v>19</v>
      </c>
      <c r="B76" s="2">
        <v>8.2199999999999995E-2</v>
      </c>
    </row>
    <row r="77" spans="1:8" x14ac:dyDescent="0.2">
      <c r="A77" t="s">
        <v>18</v>
      </c>
      <c r="B77">
        <f>(B75/(4*PI()))*(B73/B74)*B76</f>
        <v>7.623236336216031E-22</v>
      </c>
    </row>
    <row r="78" spans="1:8" x14ac:dyDescent="0.2">
      <c r="A78" t="s">
        <v>23</v>
      </c>
      <c r="B78">
        <f>B72*B76</f>
        <v>7.6232362150679999E-25</v>
      </c>
    </row>
    <row r="82" spans="1:10" x14ac:dyDescent="0.2">
      <c r="A82" t="s">
        <v>11</v>
      </c>
      <c r="B82">
        <v>3</v>
      </c>
    </row>
    <row r="83" spans="1:10" x14ac:dyDescent="0.2">
      <c r="A83" t="s">
        <v>12</v>
      </c>
      <c r="B83">
        <v>1.4570000000000001</v>
      </c>
    </row>
    <row r="84" spans="1:10" x14ac:dyDescent="0.2">
      <c r="A84" t="s">
        <v>13</v>
      </c>
      <c r="B84">
        <v>1</v>
      </c>
    </row>
    <row r="85" spans="1:10" x14ac:dyDescent="0.2">
      <c r="A85" t="s">
        <v>4</v>
      </c>
      <c r="B85" t="s">
        <v>5</v>
      </c>
      <c r="C85" t="s">
        <v>56</v>
      </c>
      <c r="D85" t="s">
        <v>14</v>
      </c>
      <c r="E85" t="s">
        <v>15</v>
      </c>
      <c r="F85" t="s">
        <v>16</v>
      </c>
      <c r="G85" t="s">
        <v>17</v>
      </c>
      <c r="H85" t="s">
        <v>25</v>
      </c>
      <c r="I85" t="s">
        <v>27</v>
      </c>
      <c r="J85" t="s">
        <v>26</v>
      </c>
    </row>
    <row r="86" spans="1:10" x14ac:dyDescent="0.2">
      <c r="A86" s="2">
        <v>-0.3851</v>
      </c>
      <c r="B86" s="2">
        <v>0.35449999999999998</v>
      </c>
      <c r="C86">
        <f t="shared" ref="C86:C95" si="18">(ABS(A86) + B86) / 2</f>
        <v>0.36980000000000002</v>
      </c>
      <c r="D86">
        <f>RADIANS(C86)</f>
        <v>6.4542275738750307E-3</v>
      </c>
      <c r="E86">
        <f>ASIN(($B$83/$B$84)*SIN(D86))</f>
        <v>9.4038828877760303E-3</v>
      </c>
      <c r="F86">
        <v>5.3503578182931772E-3</v>
      </c>
      <c r="G86" s="8">
        <f>COS(E86)/COS(F86)-1</f>
        <v>-2.9903478599435651E-5</v>
      </c>
      <c r="H86">
        <f>-(G86*$B$104)</f>
        <v>3.3861402499218931E-26</v>
      </c>
      <c r="I86">
        <f>AVERAGE(H86:H95)</f>
        <v>1.0767868456553092E-24</v>
      </c>
      <c r="J86" s="12">
        <f>ABS(I86-B105)/B105</f>
        <v>4.9074446704756525E-2</v>
      </c>
    </row>
    <row r="87" spans="1:10" x14ac:dyDescent="0.2">
      <c r="A87" s="2">
        <v>-0.99150000000000005</v>
      </c>
      <c r="B87" s="2">
        <v>0.96250000000000002</v>
      </c>
      <c r="C87">
        <f t="shared" si="18"/>
        <v>0.97700000000000009</v>
      </c>
      <c r="D87">
        <f t="shared" ref="D87:D95" si="19">RADIANS(C87)</f>
        <v>1.7051866791984602E-2</v>
      </c>
      <c r="E87">
        <f t="shared" ref="E87:E95" si="20">ASIN(($B$83/$B$84)*SIN(D87))</f>
        <v>2.4845922174640048E-2</v>
      </c>
      <c r="F87">
        <v>1.2076222779432417E-2</v>
      </c>
      <c r="G87" s="8">
        <f t="shared" ref="G87:G92" si="21">COS(E87)/COS(F87)-1</f>
        <v>-2.3574454375030474E-4</v>
      </c>
      <c r="H87">
        <f t="shared" ref="H87:H95" si="22">-(G87*$B$104)</f>
        <v>2.6694689904988E-25</v>
      </c>
    </row>
    <row r="88" spans="1:10" x14ac:dyDescent="0.2">
      <c r="A88" s="2">
        <v>-1.3439000000000001</v>
      </c>
      <c r="B88" s="2">
        <v>1.3149999999999999</v>
      </c>
      <c r="C88">
        <f t="shared" si="18"/>
        <v>1.32945</v>
      </c>
      <c r="D88">
        <f t="shared" si="19"/>
        <v>2.3203279740638613E-2</v>
      </c>
      <c r="E88">
        <f t="shared" si="20"/>
        <v>3.3810586503210477E-2</v>
      </c>
      <c r="F88">
        <v>1.6128836015868692E-2</v>
      </c>
      <c r="G88" s="8">
        <f t="shared" si="21"/>
        <v>-4.4151400209524461E-4</v>
      </c>
      <c r="H88">
        <f t="shared" si="22"/>
        <v>4.9995131115850228E-25</v>
      </c>
    </row>
    <row r="89" spans="1:10" x14ac:dyDescent="0.2">
      <c r="A89" s="2">
        <v>-1.6209</v>
      </c>
      <c r="B89" s="2">
        <v>1.5904</v>
      </c>
      <c r="C89">
        <f t="shared" si="18"/>
        <v>1.60565</v>
      </c>
      <c r="D89">
        <f t="shared" si="19"/>
        <v>2.8023879134646951E-2</v>
      </c>
      <c r="E89">
        <f t="shared" si="20"/>
        <v>4.0836797041816066E-2</v>
      </c>
      <c r="F89">
        <v>1.9362571965520894E-2</v>
      </c>
      <c r="G89" s="8">
        <f t="shared" si="21"/>
        <v>-6.4637854898719205E-4</v>
      </c>
      <c r="H89">
        <f t="shared" si="22"/>
        <v>7.3193104077628868E-25</v>
      </c>
    </row>
    <row r="90" spans="1:10" x14ac:dyDescent="0.2">
      <c r="A90" s="2">
        <v>-1.8548</v>
      </c>
      <c r="B90" s="2">
        <v>1.8249</v>
      </c>
      <c r="C90">
        <f t="shared" si="18"/>
        <v>1.83985</v>
      </c>
      <c r="D90">
        <f t="shared" si="19"/>
        <v>3.2111440242817674E-2</v>
      </c>
      <c r="E90">
        <f t="shared" si="20"/>
        <v>4.679540523397515E-2</v>
      </c>
      <c r="F90">
        <v>2.2129033559018709E-2</v>
      </c>
      <c r="G90" s="8">
        <f t="shared" si="21"/>
        <v>-8.5007624584032548E-4</v>
      </c>
      <c r="H90">
        <f t="shared" si="22"/>
        <v>9.6258948000676686E-25</v>
      </c>
    </row>
    <row r="91" spans="1:10" x14ac:dyDescent="0.2">
      <c r="A91" s="2">
        <v>-2.0646</v>
      </c>
      <c r="B91" s="2">
        <v>2.0329000000000002</v>
      </c>
      <c r="C91">
        <f t="shared" si="18"/>
        <v>2.0487500000000001</v>
      </c>
      <c r="D91">
        <f t="shared" si="19"/>
        <v>3.5757433050233829E-2</v>
      </c>
      <c r="E91">
        <f t="shared" si="20"/>
        <v>5.2111060447653491E-2</v>
      </c>
      <c r="F91">
        <v>2.4612699471291792E-2</v>
      </c>
      <c r="G91" s="8">
        <f t="shared" si="21"/>
        <v>-1.0549163894416624E-3</v>
      </c>
      <c r="H91">
        <f t="shared" si="22"/>
        <v>1.194541576396435E-24</v>
      </c>
    </row>
    <row r="92" spans="1:10" x14ac:dyDescent="0.2">
      <c r="A92" s="2">
        <v>-2.2544</v>
      </c>
      <c r="B92" s="2">
        <v>2.2212000000000001</v>
      </c>
      <c r="C92">
        <f t="shared" si="18"/>
        <v>2.2378</v>
      </c>
      <c r="D92">
        <f t="shared" si="19"/>
        <v>3.905697800112911E-2</v>
      </c>
      <c r="E92">
        <f t="shared" si="20"/>
        <v>5.6922284637750592E-2</v>
      </c>
      <c r="F92">
        <v>2.685611542747814E-2</v>
      </c>
      <c r="G92" s="8">
        <f t="shared" si="21"/>
        <v>-1.259486234067464E-3</v>
      </c>
      <c r="H92">
        <f t="shared" si="22"/>
        <v>1.4261875979468399E-24</v>
      </c>
    </row>
    <row r="93" spans="1:10" x14ac:dyDescent="0.2">
      <c r="A93" s="2">
        <v>-2.4266999999999999</v>
      </c>
      <c r="B93" s="2">
        <v>2.3935</v>
      </c>
      <c r="C93">
        <f t="shared" si="18"/>
        <v>2.4100999999999999</v>
      </c>
      <c r="D93">
        <f t="shared" si="19"/>
        <v>4.2064180302315332E-2</v>
      </c>
      <c r="E93">
        <f t="shared" si="20"/>
        <v>6.1307837236792097E-2</v>
      </c>
      <c r="F93">
        <v>2.8881465887362644E-2</v>
      </c>
      <c r="G93" s="8">
        <f>COS(E93)/COS(F93)-1</f>
        <v>-1.4623061784703184E-3</v>
      </c>
      <c r="H93">
        <f t="shared" si="22"/>
        <v>1.6558521083634932E-24</v>
      </c>
    </row>
    <row r="94" spans="1:10" x14ac:dyDescent="0.2">
      <c r="A94" s="2">
        <v>-2.5893999999999999</v>
      </c>
      <c r="B94" s="2">
        <v>2.5537000000000001</v>
      </c>
      <c r="C94">
        <f t="shared" si="18"/>
        <v>2.5715500000000002</v>
      </c>
      <c r="D94">
        <f t="shared" si="19"/>
        <v>4.4882014379660183E-2</v>
      </c>
      <c r="E94">
        <f t="shared" si="20"/>
        <v>6.5417791693204344E-2</v>
      </c>
      <c r="F94">
        <v>3.0798930405404979E-2</v>
      </c>
      <c r="G94" s="8">
        <f t="shared" ref="G94:G95" si="23">COS(E94)/COS(F94)-1</f>
        <v>-1.665521065746689E-3</v>
      </c>
      <c r="H94">
        <f t="shared" si="22"/>
        <v>1.8859638349647073E-24</v>
      </c>
    </row>
    <row r="95" spans="1:10" x14ac:dyDescent="0.2">
      <c r="A95" s="2">
        <v>-2.7383999999999999</v>
      </c>
      <c r="B95" s="2">
        <v>2.7050000000000001</v>
      </c>
      <c r="C95">
        <f t="shared" si="18"/>
        <v>2.7217000000000002</v>
      </c>
      <c r="D95">
        <f t="shared" si="19"/>
        <v>4.7502626251529671E-2</v>
      </c>
      <c r="E95">
        <f t="shared" si="20"/>
        <v>6.9240613182919783E-2</v>
      </c>
      <c r="F95">
        <v>3.2674366439167636E-2</v>
      </c>
      <c r="G95" s="8">
        <f t="shared" si="23"/>
        <v>-1.8634086948332573E-3</v>
      </c>
      <c r="H95">
        <f t="shared" si="22"/>
        <v>2.1100432053909588E-24</v>
      </c>
    </row>
    <row r="99" spans="1:2" x14ac:dyDescent="0.2">
      <c r="A99" t="s">
        <v>24</v>
      </c>
      <c r="B99">
        <f>9.274009994*10^(-24)</f>
        <v>9.2740099940000005E-24</v>
      </c>
    </row>
    <row r="100" spans="1:2" x14ac:dyDescent="0.2">
      <c r="A100" t="s">
        <v>22</v>
      </c>
      <c r="B100">
        <f>1.60217662*10^(-19)</f>
        <v>1.6021766200000001E-19</v>
      </c>
    </row>
    <row r="101" spans="1:2" x14ac:dyDescent="0.2">
      <c r="A101" t="s">
        <v>20</v>
      </c>
      <c r="B101">
        <f>9.10938356*10^(-31)</f>
        <v>9.1093835599999998E-31</v>
      </c>
    </row>
    <row r="102" spans="1:2" x14ac:dyDescent="0.2">
      <c r="A102" t="s">
        <v>21</v>
      </c>
      <c r="B102">
        <f>6.62607015*10^(-31)</f>
        <v>6.6260701500000011E-31</v>
      </c>
    </row>
    <row r="103" spans="1:2" x14ac:dyDescent="0.2">
      <c r="A103" t="s">
        <v>19</v>
      </c>
      <c r="B103" s="2">
        <v>0.1221</v>
      </c>
    </row>
    <row r="104" spans="1:2" x14ac:dyDescent="0.2">
      <c r="A104" t="s">
        <v>18</v>
      </c>
      <c r="B104">
        <f>(B102/(4*PI()))*(B100/B101)*B103</f>
        <v>1.1323566382627463E-21</v>
      </c>
    </row>
    <row r="105" spans="1:2" x14ac:dyDescent="0.2">
      <c r="A105" t="s">
        <v>23</v>
      </c>
      <c r="B105">
        <f>B99*B103</f>
        <v>1.1323566202674E-24</v>
      </c>
    </row>
    <row r="110" spans="1:2" x14ac:dyDescent="0.2">
      <c r="A110" t="s">
        <v>11</v>
      </c>
      <c r="B110">
        <v>4</v>
      </c>
    </row>
    <row r="111" spans="1:2" x14ac:dyDescent="0.2">
      <c r="A111" t="s">
        <v>12</v>
      </c>
      <c r="B111">
        <v>1.4570000000000001</v>
      </c>
    </row>
    <row r="112" spans="1:2" x14ac:dyDescent="0.2">
      <c r="A112" t="s">
        <v>13</v>
      </c>
      <c r="B112">
        <v>1</v>
      </c>
    </row>
    <row r="113" spans="1:10" x14ac:dyDescent="0.2">
      <c r="A113" t="s">
        <v>4</v>
      </c>
      <c r="B113" t="s">
        <v>5</v>
      </c>
      <c r="C113" t="s">
        <v>56</v>
      </c>
      <c r="D113" t="s">
        <v>14</v>
      </c>
      <c r="E113" t="s">
        <v>15</v>
      </c>
      <c r="F113" t="s">
        <v>16</v>
      </c>
      <c r="G113" t="s">
        <v>17</v>
      </c>
      <c r="H113" t="s">
        <v>25</v>
      </c>
      <c r="I113" t="s">
        <v>27</v>
      </c>
      <c r="J113" t="s">
        <v>26</v>
      </c>
    </row>
    <row r="114" spans="1:10" x14ac:dyDescent="0.2">
      <c r="A114" s="2">
        <v>-0.35909999999999997</v>
      </c>
      <c r="B114" s="2">
        <v>0.32469999999999999</v>
      </c>
      <c r="C114">
        <f t="shared" ref="C114:C123" si="24">(ABS(A114) + B114) / 2</f>
        <v>0.34189999999999998</v>
      </c>
      <c r="D114">
        <f>RADIANS(C114)</f>
        <v>5.9672807125686128E-3</v>
      </c>
      <c r="E114">
        <f>ASIN(($B$111/$B$112)*SIN(D114))</f>
        <v>8.6943859374883567E-3</v>
      </c>
      <c r="F114">
        <v>5.3503578182931772E-3</v>
      </c>
      <c r="G114" s="8">
        <f>COS(E114)/COS(F114)-1</f>
        <v>-2.3483141193603174E-5</v>
      </c>
      <c r="H114">
        <f>-(G114*$B$132)</f>
        <v>3.5977733358778234E-26</v>
      </c>
      <c r="I114">
        <f>AVERAGE(H114:H123)</f>
        <v>1.4468227318571007E-24</v>
      </c>
      <c r="J114" s="12">
        <f>ABS(I114-B133)/B133</f>
        <v>5.5639700938278643E-2</v>
      </c>
    </row>
    <row r="115" spans="1:10" x14ac:dyDescent="0.2">
      <c r="A115" s="2">
        <v>-0.98329999999999995</v>
      </c>
      <c r="B115" s="2">
        <v>0.95269999999999999</v>
      </c>
      <c r="C115">
        <f t="shared" si="24"/>
        <v>0.96799999999999997</v>
      </c>
      <c r="D115">
        <f t="shared" ref="D115:D123" si="25">RADIANS(C115)</f>
        <v>1.6894787159305109E-2</v>
      </c>
      <c r="E115">
        <f t="shared" ref="E115:E123" si="26">ASIN(($B$111/$B$112)*SIN(D115))</f>
        <v>2.4617020116163003E-2</v>
      </c>
      <c r="F115">
        <v>1.2076222779432417E-2</v>
      </c>
      <c r="G115" s="8">
        <f t="shared" ref="G115:G120" si="27">COS(E115)/COS(F115)-1</f>
        <v>-2.3008362341137012E-4</v>
      </c>
      <c r="H115">
        <f t="shared" ref="H115:H123" si="28">-(G115*$B$132)</f>
        <v>3.5250340595706683E-25</v>
      </c>
    </row>
    <row r="116" spans="1:10" x14ac:dyDescent="0.2">
      <c r="A116" s="2">
        <v>-1.3393999999999999</v>
      </c>
      <c r="B116" s="2">
        <v>1.3078000000000001</v>
      </c>
      <c r="C116">
        <f t="shared" si="24"/>
        <v>1.3235999999999999</v>
      </c>
      <c r="D116">
        <f t="shared" si="25"/>
        <v>2.3101177979396943E-2</v>
      </c>
      <c r="E116">
        <f t="shared" si="26"/>
        <v>3.3661779432559283E-2</v>
      </c>
      <c r="F116">
        <v>1.6128836015868692E-2</v>
      </c>
      <c r="G116" s="8">
        <f t="shared" si="27"/>
        <v>-4.3649411883295297E-4</v>
      </c>
      <c r="H116">
        <f t="shared" si="28"/>
        <v>6.6873800615416141E-25</v>
      </c>
    </row>
    <row r="117" spans="1:10" x14ac:dyDescent="0.2">
      <c r="A117" s="2">
        <v>-1.6169</v>
      </c>
      <c r="B117" s="2">
        <v>1.5853999999999999</v>
      </c>
      <c r="C117">
        <f t="shared" si="24"/>
        <v>1.6011500000000001</v>
      </c>
      <c r="D117">
        <f t="shared" si="25"/>
        <v>2.794533931830721E-2</v>
      </c>
      <c r="E117">
        <f t="shared" si="26"/>
        <v>4.072231415696257E-2</v>
      </c>
      <c r="F117">
        <v>1.9362571965520894E-2</v>
      </c>
      <c r="G117" s="8">
        <f t="shared" si="27"/>
        <v>-6.4171040662464041E-4</v>
      </c>
      <c r="H117">
        <f t="shared" si="28"/>
        <v>9.8314300087687851E-25</v>
      </c>
    </row>
    <row r="118" spans="1:10" x14ac:dyDescent="0.2">
      <c r="A118" s="2">
        <v>-1.8512</v>
      </c>
      <c r="B118" s="2">
        <v>1.8205</v>
      </c>
      <c r="C118">
        <f t="shared" si="24"/>
        <v>1.83585</v>
      </c>
      <c r="D118">
        <f t="shared" si="25"/>
        <v>3.2041627072737902E-2</v>
      </c>
      <c r="E118">
        <f t="shared" si="26"/>
        <v>4.6693628596310988E-2</v>
      </c>
      <c r="F118">
        <v>2.2129033559018709E-2</v>
      </c>
      <c r="G118" s="8">
        <f t="shared" si="27"/>
        <v>-8.4531931378140079E-4</v>
      </c>
      <c r="H118">
        <f t="shared" si="28"/>
        <v>1.295085381615687E-24</v>
      </c>
    </row>
    <row r="119" spans="1:10" x14ac:dyDescent="0.2">
      <c r="A119" s="2">
        <v>-2.0611999999999999</v>
      </c>
      <c r="B119" s="2">
        <v>2.0289000000000001</v>
      </c>
      <c r="C119">
        <f t="shared" si="24"/>
        <v>2.0450499999999998</v>
      </c>
      <c r="D119">
        <f t="shared" si="25"/>
        <v>3.5692855867910031E-2</v>
      </c>
      <c r="E119">
        <f t="shared" si="26"/>
        <v>5.2016903944582069E-2</v>
      </c>
      <c r="F119">
        <v>2.4612699471291792E-2</v>
      </c>
      <c r="G119" s="8">
        <f t="shared" si="27"/>
        <v>-1.0500149567927997E-3</v>
      </c>
      <c r="H119">
        <f t="shared" si="28"/>
        <v>1.6086927139249548E-24</v>
      </c>
    </row>
    <row r="120" spans="1:10" x14ac:dyDescent="0.2">
      <c r="A120" s="2">
        <v>-2.2492999999999999</v>
      </c>
      <c r="B120" s="2">
        <v>2.2166999999999999</v>
      </c>
      <c r="C120">
        <f t="shared" si="24"/>
        <v>2.2329999999999997</v>
      </c>
      <c r="D120">
        <f t="shared" si="25"/>
        <v>3.8973202197033374E-2</v>
      </c>
      <c r="E120">
        <f t="shared" si="26"/>
        <v>5.6800118738904129E-2</v>
      </c>
      <c r="F120">
        <v>2.685611542747814E-2</v>
      </c>
      <c r="G120" s="8">
        <f t="shared" si="27"/>
        <v>-1.2525409723981307E-3</v>
      </c>
      <c r="H120">
        <f t="shared" si="28"/>
        <v>1.9189760328213718E-24</v>
      </c>
    </row>
    <row r="121" spans="1:10" x14ac:dyDescent="0.2">
      <c r="A121" s="2">
        <v>-2.4236</v>
      </c>
      <c r="B121" s="2">
        <v>2.3914</v>
      </c>
      <c r="C121">
        <f t="shared" si="24"/>
        <v>2.4074999999999998</v>
      </c>
      <c r="D121">
        <f t="shared" si="25"/>
        <v>4.2018801741763478E-2</v>
      </c>
      <c r="E121">
        <f t="shared" si="26"/>
        <v>6.1241654890469455E-2</v>
      </c>
      <c r="F121">
        <v>2.8881465887362644E-2</v>
      </c>
      <c r="G121" s="8">
        <f>COS(E121)/COS(F121)-1</f>
        <v>-1.4582517183275856E-3</v>
      </c>
      <c r="H121">
        <f t="shared" si="28"/>
        <v>2.2341385702804296E-24</v>
      </c>
    </row>
    <row r="122" spans="1:10" x14ac:dyDescent="0.2">
      <c r="A122" s="2">
        <v>-2.5832000000000002</v>
      </c>
      <c r="B122" s="2">
        <v>2.5507</v>
      </c>
      <c r="C122">
        <f t="shared" si="24"/>
        <v>2.5669500000000003</v>
      </c>
      <c r="D122">
        <f t="shared" si="25"/>
        <v>4.4801729234068451E-2</v>
      </c>
      <c r="E122">
        <f t="shared" si="26"/>
        <v>6.5300683779562815E-2</v>
      </c>
      <c r="F122">
        <v>3.0798930405404979E-2</v>
      </c>
      <c r="G122" s="8">
        <f t="shared" ref="G122:G123" si="29">COS(E122)/COS(F122)-1</f>
        <v>-1.6578688010263631E-3</v>
      </c>
      <c r="H122">
        <f t="shared" si="28"/>
        <v>2.5399652105916549E-24</v>
      </c>
    </row>
    <row r="123" spans="1:10" x14ac:dyDescent="0.2">
      <c r="A123" s="2">
        <v>-2.7238000000000002</v>
      </c>
      <c r="B123" s="2">
        <v>2.7019000000000002</v>
      </c>
      <c r="C123">
        <f t="shared" si="24"/>
        <v>2.7128500000000004</v>
      </c>
      <c r="D123">
        <f t="shared" si="25"/>
        <v>4.7348164612728179E-2</v>
      </c>
      <c r="E123">
        <f t="shared" si="26"/>
        <v>6.9015277427272884E-2</v>
      </c>
      <c r="F123">
        <v>3.2674366439167636E-2</v>
      </c>
      <c r="G123" s="8">
        <f t="shared" si="29"/>
        <v>-1.8478357881511753E-3</v>
      </c>
      <c r="H123">
        <f t="shared" si="28"/>
        <v>2.8310072629900238E-24</v>
      </c>
    </row>
    <row r="127" spans="1:10" x14ac:dyDescent="0.2">
      <c r="A127" t="s">
        <v>24</v>
      </c>
      <c r="B127">
        <f>9.274009994*10^(-24)</f>
        <v>9.2740099940000005E-24</v>
      </c>
    </row>
    <row r="128" spans="1:10" x14ac:dyDescent="0.2">
      <c r="A128" t="s">
        <v>22</v>
      </c>
      <c r="B128">
        <f>1.60217662*10^(-19)</f>
        <v>1.6021766200000001E-19</v>
      </c>
    </row>
    <row r="129" spans="1:10" x14ac:dyDescent="0.2">
      <c r="A129" t="s">
        <v>20</v>
      </c>
      <c r="B129">
        <f>9.10938356*10^(-31)</f>
        <v>9.1093835599999998E-31</v>
      </c>
    </row>
    <row r="130" spans="1:10" x14ac:dyDescent="0.2">
      <c r="A130" t="s">
        <v>21</v>
      </c>
      <c r="B130">
        <f>6.62607015*10^(-31)</f>
        <v>6.6260701500000011E-31</v>
      </c>
    </row>
    <row r="131" spans="1:10" x14ac:dyDescent="0.2">
      <c r="A131" t="s">
        <v>19</v>
      </c>
      <c r="B131" s="2">
        <v>0.16520000000000001</v>
      </c>
    </row>
    <row r="132" spans="1:10" x14ac:dyDescent="0.2">
      <c r="A132" t="s">
        <v>18</v>
      </c>
      <c r="B132">
        <f>(B130/(4*PI()))*(B128/B129)*B131</f>
        <v>1.532066475356312E-21</v>
      </c>
    </row>
    <row r="133" spans="1:10" x14ac:dyDescent="0.2">
      <c r="A133" t="s">
        <v>23</v>
      </c>
      <c r="B133">
        <f>B127*B131</f>
        <v>1.5320664510088003E-24</v>
      </c>
    </row>
    <row r="137" spans="1:10" x14ac:dyDescent="0.2">
      <c r="A137" t="s">
        <v>11</v>
      </c>
      <c r="B137">
        <v>6</v>
      </c>
    </row>
    <row r="138" spans="1:10" x14ac:dyDescent="0.2">
      <c r="A138" t="s">
        <v>12</v>
      </c>
      <c r="B138">
        <v>1.4570000000000001</v>
      </c>
    </row>
    <row r="139" spans="1:10" x14ac:dyDescent="0.2">
      <c r="A139" t="s">
        <v>13</v>
      </c>
      <c r="B139">
        <v>1</v>
      </c>
    </row>
    <row r="140" spans="1:10" x14ac:dyDescent="0.2">
      <c r="A140" t="s">
        <v>4</v>
      </c>
      <c r="B140" t="s">
        <v>5</v>
      </c>
      <c r="C140" t="s">
        <v>56</v>
      </c>
      <c r="D140" t="s">
        <v>14</v>
      </c>
      <c r="E140" t="s">
        <v>15</v>
      </c>
      <c r="F140" t="s">
        <v>16</v>
      </c>
      <c r="G140" t="s">
        <v>17</v>
      </c>
      <c r="H140" t="s">
        <v>25</v>
      </c>
      <c r="I140" t="s">
        <v>27</v>
      </c>
      <c r="J140" t="s">
        <v>26</v>
      </c>
    </row>
    <row r="141" spans="1:10" x14ac:dyDescent="0.2">
      <c r="A141" s="2">
        <v>-0.314</v>
      </c>
      <c r="B141" s="2">
        <v>0.27860000000000001</v>
      </c>
      <c r="C141">
        <f t="shared" ref="C141:C150" si="30">(ABS(A141) + B141) / 2</f>
        <v>0.29630000000000001</v>
      </c>
      <c r="D141">
        <f>RADIANS(C141)</f>
        <v>5.1714105736591987E-3</v>
      </c>
      <c r="E141">
        <f>ASIN(($B$138/$B$139)*SIN(D141))</f>
        <v>7.5347829167503226E-3</v>
      </c>
      <c r="F141">
        <v>5.3503578182931772E-3</v>
      </c>
      <c r="G141" s="8">
        <f>COS(E141)/COS(F141)-1</f>
        <v>-1.4073413690085523E-5</v>
      </c>
      <c r="H141">
        <f>-(G141*$B$159)</f>
        <v>2.9757871733143679E-26</v>
      </c>
      <c r="I141">
        <f>AVERAGE(H141:H150)</f>
        <v>1.9770166671597484E-24</v>
      </c>
      <c r="J141" s="12">
        <f>ABS(I141-B160)/B160</f>
        <v>6.5007937368329091E-2</v>
      </c>
    </row>
    <row r="142" spans="1:10" x14ac:dyDescent="0.2">
      <c r="A142" s="2">
        <v>-0.96540000000000004</v>
      </c>
      <c r="B142" s="2">
        <v>0.93620000000000003</v>
      </c>
      <c r="C142">
        <f t="shared" si="30"/>
        <v>0.95080000000000009</v>
      </c>
      <c r="D142">
        <f t="shared" ref="D142:D150" si="31">RADIANS(C142)</f>
        <v>1.6594590527962087E-2</v>
      </c>
      <c r="E142">
        <f t="shared" ref="E142:E150" si="32">ASIN(($B$138/$B$139)*SIN(D142))</f>
        <v>2.417956474220672E-2</v>
      </c>
      <c r="F142">
        <v>1.2076222779432417E-2</v>
      </c>
      <c r="G142" s="8">
        <f t="shared" ref="G142:G147" si="33">COS(E142)/COS(F142)-1</f>
        <v>-2.1941074000941807E-4</v>
      </c>
      <c r="H142">
        <f t="shared" ref="H142:H150" si="34">-(G142*$B$159)</f>
        <v>4.6393837357840937E-25</v>
      </c>
    </row>
    <row r="143" spans="1:10" x14ac:dyDescent="0.2">
      <c r="A143" s="2">
        <v>-1.3239000000000001</v>
      </c>
      <c r="B143" s="2">
        <v>1.2954000000000001</v>
      </c>
      <c r="C143">
        <f t="shared" si="30"/>
        <v>1.30965</v>
      </c>
      <c r="D143">
        <f t="shared" si="31"/>
        <v>2.2857704548743737E-2</v>
      </c>
      <c r="E143">
        <f t="shared" si="32"/>
        <v>3.3306933391783825E-2</v>
      </c>
      <c r="F143">
        <v>1.6128836015868692E-2</v>
      </c>
      <c r="G143" s="8">
        <f t="shared" si="33"/>
        <v>-4.2461300244556188E-4</v>
      </c>
      <c r="H143">
        <f t="shared" si="34"/>
        <v>8.9783328631216169E-25</v>
      </c>
    </row>
    <row r="144" spans="1:10" x14ac:dyDescent="0.2">
      <c r="A144" s="2">
        <v>-1.6044</v>
      </c>
      <c r="B144" s="2">
        <v>1.5753999999999999</v>
      </c>
      <c r="C144">
        <f t="shared" si="30"/>
        <v>1.5899000000000001</v>
      </c>
      <c r="D144">
        <f t="shared" si="31"/>
        <v>2.7748989777457846E-2</v>
      </c>
      <c r="E144">
        <f t="shared" si="32"/>
        <v>4.0436108179805003E-2</v>
      </c>
      <c r="F144">
        <v>1.9362571965520894E-2</v>
      </c>
      <c r="G144" s="8">
        <f t="shared" si="33"/>
        <v>-6.3009740418673577E-4</v>
      </c>
      <c r="H144">
        <f t="shared" si="34"/>
        <v>1.3323247753588721E-24</v>
      </c>
    </row>
    <row r="145" spans="1:8" x14ac:dyDescent="0.2">
      <c r="A145" s="2">
        <v>-1.8427</v>
      </c>
      <c r="B145" s="2">
        <v>1.8117000000000001</v>
      </c>
      <c r="C145">
        <f t="shared" si="30"/>
        <v>1.8271999999999999</v>
      </c>
      <c r="D145">
        <f t="shared" si="31"/>
        <v>3.1890656092440385E-2</v>
      </c>
      <c r="E145">
        <f t="shared" si="32"/>
        <v>4.6473537492959231E-2</v>
      </c>
      <c r="F145">
        <v>2.2129033559018709E-2</v>
      </c>
      <c r="G145" s="8">
        <f t="shared" si="33"/>
        <v>-8.3506787936504789E-4</v>
      </c>
      <c r="H145">
        <f t="shared" si="34"/>
        <v>1.765729579890036E-24</v>
      </c>
    </row>
    <row r="146" spans="1:8" x14ac:dyDescent="0.2">
      <c r="A146" s="2">
        <v>-2.0533000000000001</v>
      </c>
      <c r="B146" s="2">
        <v>2.0213999999999999</v>
      </c>
      <c r="C146">
        <f t="shared" si="30"/>
        <v>2.03735</v>
      </c>
      <c r="D146">
        <f t="shared" si="31"/>
        <v>3.5558465515506475E-2</v>
      </c>
      <c r="E146">
        <f t="shared" si="32"/>
        <v>5.1820957410571571E-2</v>
      </c>
      <c r="F146">
        <v>2.4612699471291792E-2</v>
      </c>
      <c r="G146" s="8">
        <f t="shared" si="33"/>
        <v>-1.0398431113556317E-3</v>
      </c>
      <c r="H146">
        <f t="shared" si="34"/>
        <v>2.1987215477161095E-24</v>
      </c>
    </row>
    <row r="147" spans="1:8" x14ac:dyDescent="0.2">
      <c r="A147" s="2">
        <v>-2.2425999999999999</v>
      </c>
      <c r="B147" s="2">
        <v>2.2103000000000002</v>
      </c>
      <c r="C147">
        <f t="shared" si="30"/>
        <v>2.2264499999999998</v>
      </c>
      <c r="D147">
        <f t="shared" si="31"/>
        <v>3.8858883131027748E-2</v>
      </c>
      <c r="E147">
        <f t="shared" si="32"/>
        <v>5.6633413914518871E-2</v>
      </c>
      <c r="F147">
        <v>2.685611542747814E-2</v>
      </c>
      <c r="G147" s="8">
        <f t="shared" si="33"/>
        <v>-1.243087673233334E-3</v>
      </c>
      <c r="H147">
        <f t="shared" si="34"/>
        <v>2.6284769529079891E-24</v>
      </c>
    </row>
    <row r="148" spans="1:8" x14ac:dyDescent="0.2">
      <c r="A148" s="2">
        <v>-2.4165999999999999</v>
      </c>
      <c r="B148" s="2">
        <v>2.3841000000000001</v>
      </c>
      <c r="C148">
        <f t="shared" si="30"/>
        <v>2.40035</v>
      </c>
      <c r="D148">
        <f t="shared" si="31"/>
        <v>4.1894010700245891E-2</v>
      </c>
      <c r="E148">
        <f t="shared" si="32"/>
        <v>6.1059654171413701E-2</v>
      </c>
      <c r="F148">
        <v>2.8881465887362644E-2</v>
      </c>
      <c r="G148" s="8">
        <f>COS(E148)/COS(F148)-1</f>
        <v>-1.4471245497275076E-3</v>
      </c>
      <c r="H148">
        <f t="shared" si="34"/>
        <v>3.0599076870036055E-24</v>
      </c>
    </row>
    <row r="149" spans="1:8" x14ac:dyDescent="0.2">
      <c r="A149" s="2">
        <v>-2.5789</v>
      </c>
      <c r="B149" s="2">
        <v>2.5434000000000001</v>
      </c>
      <c r="C149">
        <f t="shared" si="30"/>
        <v>2.56115</v>
      </c>
      <c r="D149">
        <f t="shared" si="31"/>
        <v>4.4700500137452769E-2</v>
      </c>
      <c r="E149">
        <f t="shared" si="32"/>
        <v>6.5153026652778959E-2</v>
      </c>
      <c r="F149">
        <v>3.0798930405404979E-2</v>
      </c>
      <c r="G149" s="8">
        <f t="shared" ref="G149:G150" si="35">COS(E149)/COS(F149)-1</f>
        <v>-1.6482398524262365E-3</v>
      </c>
      <c r="H149">
        <f t="shared" si="34"/>
        <v>3.4851608283574547E-24</v>
      </c>
    </row>
    <row r="150" spans="1:8" x14ac:dyDescent="0.2">
      <c r="A150" s="2">
        <v>-2.7305000000000001</v>
      </c>
      <c r="B150" s="2">
        <v>2.6958000000000002</v>
      </c>
      <c r="C150">
        <f t="shared" si="30"/>
        <v>2.7131500000000002</v>
      </c>
      <c r="D150">
        <f t="shared" si="31"/>
        <v>4.7353400600484152E-2</v>
      </c>
      <c r="E150">
        <f t="shared" si="32"/>
        <v>6.9022915896961898E-2</v>
      </c>
      <c r="F150">
        <v>3.2674366439167636E-2</v>
      </c>
      <c r="G150" s="8">
        <f t="shared" si="35"/>
        <v>-1.848362851288754E-3</v>
      </c>
      <c r="H150">
        <f t="shared" si="34"/>
        <v>3.9083157687397029E-24</v>
      </c>
    </row>
    <row r="154" spans="1:8" x14ac:dyDescent="0.2">
      <c r="A154" t="s">
        <v>24</v>
      </c>
      <c r="B154">
        <f>9.274009994*10^(-24)</f>
        <v>9.2740099940000005E-24</v>
      </c>
    </row>
    <row r="155" spans="1:8" x14ac:dyDescent="0.2">
      <c r="A155" t="s">
        <v>22</v>
      </c>
      <c r="B155">
        <f>1.60217662*10^(-19)</f>
        <v>1.6021766200000001E-19</v>
      </c>
    </row>
    <row r="156" spans="1:8" x14ac:dyDescent="0.2">
      <c r="A156" t="s">
        <v>20</v>
      </c>
      <c r="B156">
        <f>9.10938356*10^(-31)</f>
        <v>9.1093835599999998E-31</v>
      </c>
    </row>
    <row r="157" spans="1:8" x14ac:dyDescent="0.2">
      <c r="A157" t="s">
        <v>21</v>
      </c>
      <c r="B157">
        <f>6.62607015*10^(-31)</f>
        <v>6.6260701500000011E-31</v>
      </c>
    </row>
    <row r="158" spans="1:8" x14ac:dyDescent="0.2">
      <c r="A158" t="s">
        <v>19</v>
      </c>
      <c r="B158" s="2">
        <v>0.22800000000000001</v>
      </c>
    </row>
    <row r="159" spans="1:8" x14ac:dyDescent="0.2">
      <c r="A159" t="s">
        <v>18</v>
      </c>
      <c r="B159">
        <f>(B157/(4*PI()))*(B155/B156)*B158</f>
        <v>2.1144743122351035E-21</v>
      </c>
    </row>
    <row r="160" spans="1:8" x14ac:dyDescent="0.2">
      <c r="A160" t="s">
        <v>23</v>
      </c>
      <c r="B160">
        <f>B154*B158</f>
        <v>2.1144742786320003E-24</v>
      </c>
    </row>
    <row r="163" spans="1:10" x14ac:dyDescent="0.2">
      <c r="A163" t="s">
        <v>11</v>
      </c>
      <c r="B163">
        <v>7</v>
      </c>
    </row>
    <row r="164" spans="1:10" x14ac:dyDescent="0.2">
      <c r="A164" t="s">
        <v>12</v>
      </c>
      <c r="B164">
        <v>1.4570000000000001</v>
      </c>
    </row>
    <row r="165" spans="1:10" x14ac:dyDescent="0.2">
      <c r="A165" t="s">
        <v>13</v>
      </c>
      <c r="B165">
        <v>1</v>
      </c>
    </row>
    <row r="166" spans="1:10" x14ac:dyDescent="0.2">
      <c r="A166" t="s">
        <v>4</v>
      </c>
      <c r="B166" t="s">
        <v>5</v>
      </c>
      <c r="C166" t="s">
        <v>56</v>
      </c>
      <c r="D166" t="s">
        <v>14</v>
      </c>
      <c r="E166" t="s">
        <v>15</v>
      </c>
      <c r="F166" t="s">
        <v>16</v>
      </c>
      <c r="G166" t="s">
        <v>17</v>
      </c>
      <c r="H166" t="s">
        <v>25</v>
      </c>
      <c r="I166" t="s">
        <v>27</v>
      </c>
      <c r="J166" t="s">
        <v>26</v>
      </c>
    </row>
    <row r="167" spans="1:10" x14ac:dyDescent="0.2">
      <c r="A167" s="2">
        <v>-0.30120000000000002</v>
      </c>
      <c r="B167" s="2">
        <v>0.26400000000000001</v>
      </c>
      <c r="C167">
        <f t="shared" ref="C167:C176" si="36">(ABS(A167) + B167) / 2</f>
        <v>0.28260000000000002</v>
      </c>
      <c r="D167">
        <f>RADIANS(C167)</f>
        <v>4.9323004661359759E-3</v>
      </c>
      <c r="E167">
        <f>ASIN(($B$164/$B$165)*SIN(D167))</f>
        <v>7.1863944972392138E-3</v>
      </c>
      <c r="F167">
        <v>5.3503578182931772E-3</v>
      </c>
      <c r="G167" s="8">
        <f>COS(E167)/COS(F167)-1</f>
        <v>-1.1509056287994923E-5</v>
      </c>
      <c r="H167">
        <f>-(G167*$B$185)</f>
        <v>2.7003981497348199E-26</v>
      </c>
      <c r="I167">
        <f>AVERAGE(H167:H176)</f>
        <v>2.1868051211729226E-24</v>
      </c>
      <c r="J167" s="12">
        <f>ABS(I167-B186)/B186</f>
        <v>6.7986932486394633E-2</v>
      </c>
    </row>
    <row r="168" spans="1:10" x14ac:dyDescent="0.2">
      <c r="A168" s="2">
        <v>-0.96099999999999997</v>
      </c>
      <c r="B168" s="2">
        <v>0.93169999999999997</v>
      </c>
      <c r="C168">
        <f t="shared" si="36"/>
        <v>0.94635000000000002</v>
      </c>
      <c r="D168">
        <f t="shared" ref="D168:D176" si="37">RADIANS(C168)</f>
        <v>1.6516923376248337E-2</v>
      </c>
      <c r="E168">
        <f t="shared" ref="E168:E176" si="38">ASIN(($B$164/$B$165)*SIN(D168))</f>
        <v>2.4066386281411143E-2</v>
      </c>
      <c r="F168">
        <v>1.2076222779432417E-2</v>
      </c>
      <c r="G168" s="8">
        <f t="shared" ref="G168:G173" si="39">COS(E168)/COS(F168)-1</f>
        <v>-2.1668060448465365E-4</v>
      </c>
      <c r="H168">
        <f t="shared" ref="H168:H176" si="40">-(G168*$B$185)</f>
        <v>5.0840302522816119E-25</v>
      </c>
    </row>
    <row r="169" spans="1:10" x14ac:dyDescent="0.2">
      <c r="A169" s="2">
        <v>-1.3208</v>
      </c>
      <c r="B169" s="2">
        <v>1.2917000000000001</v>
      </c>
      <c r="C169">
        <f t="shared" si="36"/>
        <v>1.3062499999999999</v>
      </c>
      <c r="D169">
        <f t="shared" si="37"/>
        <v>2.2798363354175927E-2</v>
      </c>
      <c r="E169">
        <f t="shared" si="38"/>
        <v>3.3220447955824184E-2</v>
      </c>
      <c r="F169">
        <v>1.6128836015868692E-2</v>
      </c>
      <c r="G169" s="8">
        <f t="shared" si="39"/>
        <v>-4.2173633398978616E-4</v>
      </c>
      <c r="H169">
        <f t="shared" si="40"/>
        <v>9.8953032071787083E-25</v>
      </c>
    </row>
    <row r="170" spans="1:10" x14ac:dyDescent="0.2">
      <c r="A170" s="2">
        <v>-1.6021000000000001</v>
      </c>
      <c r="B170" s="2">
        <v>1.5722</v>
      </c>
      <c r="C170">
        <f t="shared" si="36"/>
        <v>1.5871500000000001</v>
      </c>
      <c r="D170">
        <f t="shared" si="37"/>
        <v>2.7700993223028002E-2</v>
      </c>
      <c r="E170">
        <f t="shared" si="38"/>
        <v>4.0366146986022776E-2</v>
      </c>
      <c r="F170">
        <v>1.9362571965520894E-2</v>
      </c>
      <c r="G170" s="8">
        <f t="shared" si="39"/>
        <v>-6.2727113215688135E-4</v>
      </c>
      <c r="H170">
        <f t="shared" si="40"/>
        <v>1.471781666777834E-24</v>
      </c>
    </row>
    <row r="171" spans="1:10" x14ac:dyDescent="0.2">
      <c r="A171" s="2">
        <v>-1.8391999999999999</v>
      </c>
      <c r="B171" s="2">
        <v>1.8086</v>
      </c>
      <c r="C171">
        <f t="shared" si="36"/>
        <v>1.8239000000000001</v>
      </c>
      <c r="D171">
        <f t="shared" si="37"/>
        <v>3.1833060227124579E-2</v>
      </c>
      <c r="E171">
        <f t="shared" si="38"/>
        <v>4.6389572415567043E-2</v>
      </c>
      <c r="F171">
        <v>2.2129033559018709E-2</v>
      </c>
      <c r="G171" s="8">
        <f t="shared" si="39"/>
        <v>-8.3116969652585748E-4</v>
      </c>
      <c r="H171">
        <f t="shared" si="40"/>
        <v>1.9501938772819279E-24</v>
      </c>
    </row>
    <row r="172" spans="1:10" x14ac:dyDescent="0.2">
      <c r="A172" s="2">
        <v>-2.0506000000000002</v>
      </c>
      <c r="B172" s="2">
        <v>2.0194000000000001</v>
      </c>
      <c r="C172">
        <f t="shared" si="36"/>
        <v>2.0350000000000001</v>
      </c>
      <c r="D172">
        <f t="shared" si="37"/>
        <v>3.551745027808461E-2</v>
      </c>
      <c r="E172">
        <f t="shared" si="38"/>
        <v>5.1761155756539896E-2</v>
      </c>
      <c r="F172">
        <v>2.4612699471291792E-2</v>
      </c>
      <c r="G172" s="8">
        <f t="shared" si="39"/>
        <v>-1.0367463669955779E-3</v>
      </c>
      <c r="H172">
        <f t="shared" si="40"/>
        <v>2.4325434693541658E-24</v>
      </c>
    </row>
    <row r="173" spans="1:10" x14ac:dyDescent="0.2">
      <c r="A173" s="2">
        <v>-2.2404999999999999</v>
      </c>
      <c r="B173" s="2">
        <v>2.2082999999999999</v>
      </c>
      <c r="C173">
        <f t="shared" si="36"/>
        <v>2.2244000000000002</v>
      </c>
      <c r="D173">
        <f t="shared" si="37"/>
        <v>3.882310388136187E-2</v>
      </c>
      <c r="E173">
        <f t="shared" si="38"/>
        <v>5.6581239293756941E-2</v>
      </c>
      <c r="F173">
        <v>2.685611542747814E-2</v>
      </c>
      <c r="G173" s="8">
        <f t="shared" si="39"/>
        <v>-1.240134719679209E-3</v>
      </c>
      <c r="H173">
        <f t="shared" si="40"/>
        <v>2.9097585576471917E-24</v>
      </c>
    </row>
    <row r="174" spans="1:10" x14ac:dyDescent="0.2">
      <c r="A174" s="2">
        <v>-2.4135</v>
      </c>
      <c r="B174" s="2">
        <v>2.3824000000000001</v>
      </c>
      <c r="C174">
        <f t="shared" si="36"/>
        <v>2.3979499999999998</v>
      </c>
      <c r="D174">
        <f t="shared" si="37"/>
        <v>4.185212279819802E-2</v>
      </c>
      <c r="E174">
        <f t="shared" si="38"/>
        <v>6.0998563261655182E-2</v>
      </c>
      <c r="F174">
        <v>2.8881465887362644E-2</v>
      </c>
      <c r="G174" s="8">
        <f>COS(E174)/COS(F174)-1</f>
        <v>-1.4433969853677731E-3</v>
      </c>
      <c r="H174">
        <f t="shared" si="40"/>
        <v>3.3866778049262679E-24</v>
      </c>
    </row>
    <row r="175" spans="1:10" x14ac:dyDescent="0.2">
      <c r="A175" s="2">
        <v>-2.577</v>
      </c>
      <c r="B175" s="2">
        <v>2.544</v>
      </c>
      <c r="C175">
        <f t="shared" si="36"/>
        <v>2.5605000000000002</v>
      </c>
      <c r="D175">
        <f t="shared" si="37"/>
        <v>4.4689155497314809E-2</v>
      </c>
      <c r="E175">
        <f t="shared" si="38"/>
        <v>6.5136478918340984E-2</v>
      </c>
      <c r="F175">
        <v>3.0798930405404979E-2</v>
      </c>
      <c r="G175" s="8">
        <f t="shared" ref="G175:G176" si="41">COS(E175)/COS(F175)-1</f>
        <v>-1.6471621055494934E-3</v>
      </c>
      <c r="H175">
        <f t="shared" si="40"/>
        <v>3.8647769120556442E-24</v>
      </c>
    </row>
    <row r="176" spans="1:10" x14ac:dyDescent="0.2">
      <c r="A176" s="2">
        <v>-2.7269999999999999</v>
      </c>
      <c r="B176" s="2">
        <v>2.6947000000000001</v>
      </c>
      <c r="C176">
        <f t="shared" si="36"/>
        <v>2.7108499999999998</v>
      </c>
      <c r="D176">
        <f t="shared" si="37"/>
        <v>4.7313258027688279E-2</v>
      </c>
      <c r="E176">
        <f t="shared" si="38"/>
        <v>6.8964354350640938E-2</v>
      </c>
      <c r="F176">
        <v>3.2674366439167636E-2</v>
      </c>
      <c r="G176" s="8">
        <f t="shared" si="41"/>
        <v>-1.8443235259838486E-3</v>
      </c>
      <c r="H176">
        <f t="shared" si="40"/>
        <v>4.3273815962428115E-24</v>
      </c>
    </row>
    <row r="180" spans="1:2" x14ac:dyDescent="0.2">
      <c r="A180" t="s">
        <v>24</v>
      </c>
      <c r="B180">
        <f>9.274009994*10^(-24)</f>
        <v>9.2740099940000005E-24</v>
      </c>
    </row>
    <row r="181" spans="1:2" x14ac:dyDescent="0.2">
      <c r="A181" t="s">
        <v>22</v>
      </c>
      <c r="B181">
        <f>1.60217662*10^(-19)</f>
        <v>1.6021766200000001E-19</v>
      </c>
    </row>
    <row r="182" spans="1:2" x14ac:dyDescent="0.2">
      <c r="A182" t="s">
        <v>20</v>
      </c>
      <c r="B182">
        <f>9.10938356*10^(-31)</f>
        <v>9.1093835599999998E-31</v>
      </c>
    </row>
    <row r="183" spans="1:2" x14ac:dyDescent="0.2">
      <c r="A183" t="s">
        <v>21</v>
      </c>
      <c r="B183">
        <f>6.62607015*10^(-31)</f>
        <v>6.6260701500000011E-31</v>
      </c>
    </row>
    <row r="184" spans="1:2" x14ac:dyDescent="0.2">
      <c r="A184" t="s">
        <v>19</v>
      </c>
      <c r="B184" s="2">
        <v>0.253</v>
      </c>
    </row>
    <row r="185" spans="1:2" x14ac:dyDescent="0.2">
      <c r="A185" t="s">
        <v>18</v>
      </c>
      <c r="B185">
        <f>(B183/(4*PI()))*(B181/B182)*B184</f>
        <v>2.3463245657696542E-21</v>
      </c>
    </row>
    <row r="186" spans="1:2" x14ac:dyDescent="0.2">
      <c r="A186" t="s">
        <v>23</v>
      </c>
      <c r="B186">
        <f>B180*B184</f>
        <v>2.3463245284820001E-24</v>
      </c>
    </row>
    <row r="190" spans="1:2" x14ac:dyDescent="0.2">
      <c r="A190" t="s">
        <v>11</v>
      </c>
      <c r="B190">
        <v>8</v>
      </c>
    </row>
    <row r="191" spans="1:2" x14ac:dyDescent="0.2">
      <c r="A191" t="s">
        <v>12</v>
      </c>
      <c r="B191">
        <v>1.4570000000000001</v>
      </c>
    </row>
    <row r="192" spans="1:2" x14ac:dyDescent="0.2">
      <c r="A192" t="s">
        <v>13</v>
      </c>
      <c r="B192">
        <v>1</v>
      </c>
    </row>
    <row r="193" spans="1:10" x14ac:dyDescent="0.2">
      <c r="A193" t="s">
        <v>4</v>
      </c>
      <c r="B193" t="s">
        <v>5</v>
      </c>
      <c r="C193" t="s">
        <v>56</v>
      </c>
      <c r="D193" t="s">
        <v>14</v>
      </c>
      <c r="E193" t="s">
        <v>15</v>
      </c>
      <c r="F193" t="s">
        <v>16</v>
      </c>
      <c r="G193" t="s">
        <v>17</v>
      </c>
      <c r="H193" t="s">
        <v>25</v>
      </c>
      <c r="I193" t="s">
        <v>27</v>
      </c>
      <c r="J193" t="s">
        <v>26</v>
      </c>
    </row>
    <row r="194" spans="1:10" x14ac:dyDescent="0.2">
      <c r="A194" s="2">
        <v>-0.28149999999999997</v>
      </c>
      <c r="B194" s="2">
        <v>0.25240000000000001</v>
      </c>
      <c r="C194">
        <f t="shared" ref="C194:C203" si="42">(ABS(A194) + B194) / 2</f>
        <v>0.26695000000000002</v>
      </c>
      <c r="D194">
        <f>RADIANS(C194)</f>
        <v>4.6591564381988628E-3</v>
      </c>
      <c r="E194">
        <f>ASIN(($B$191/$B$192)*SIN(D194))</f>
        <v>6.78841850828453E-3</v>
      </c>
      <c r="F194">
        <v>5.3503578182931772E-3</v>
      </c>
      <c r="G194" s="8">
        <f>COS(E194)/COS(F194)-1</f>
        <v>-8.7282191190141134E-6</v>
      </c>
      <c r="H194">
        <f>-(G194*$B$212)</f>
        <v>2.1774364416378251E-26</v>
      </c>
      <c r="I194">
        <f>AVERAGE(H194:H203)</f>
        <v>2.2511375941462988E-24</v>
      </c>
      <c r="J194" s="12">
        <f>ABS(I194-B213)/B213</f>
        <v>9.7635084759048404E-2</v>
      </c>
    </row>
    <row r="195" spans="1:10" x14ac:dyDescent="0.2">
      <c r="A195" s="2">
        <v>-0.95709999999999995</v>
      </c>
      <c r="B195" s="2">
        <v>0.92649999999999999</v>
      </c>
      <c r="C195">
        <f t="shared" si="42"/>
        <v>0.94179999999999997</v>
      </c>
      <c r="D195">
        <f t="shared" ref="D195:D203" si="43">RADIANS(C195)</f>
        <v>1.6437510895282594E-2</v>
      </c>
      <c r="E195">
        <f t="shared" ref="E195:E203" si="44">ASIN(($B$191/$B$192)*SIN(D195))</f>
        <v>2.3950664653085246E-2</v>
      </c>
      <c r="F195">
        <v>1.2076222779432417E-2</v>
      </c>
      <c r="G195" s="8">
        <f t="shared" ref="G195:G200" si="45">COS(E195)/COS(F195)-1</f>
        <v>-2.1390236314444699E-4</v>
      </c>
      <c r="H195">
        <f t="shared" ref="H195:H203" si="46">-(G195*$B$212)</f>
        <v>5.3362409228307245E-25</v>
      </c>
    </row>
    <row r="196" spans="1:10" x14ac:dyDescent="0.2">
      <c r="A196" s="2">
        <v>-1.3179000000000001</v>
      </c>
      <c r="B196" s="2">
        <v>1.2871999999999999</v>
      </c>
      <c r="C196">
        <f t="shared" si="42"/>
        <v>1.3025500000000001</v>
      </c>
      <c r="D196">
        <f t="shared" si="43"/>
        <v>2.2733786171852143E-2</v>
      </c>
      <c r="E196">
        <f t="shared" si="44"/>
        <v>3.3126331601443182E-2</v>
      </c>
      <c r="F196">
        <v>1.6128836015868692E-2</v>
      </c>
      <c r="G196" s="8">
        <f t="shared" si="45"/>
        <v>-4.1861434202572489E-4</v>
      </c>
      <c r="H196">
        <f t="shared" si="46"/>
        <v>1.0443208527308513E-24</v>
      </c>
    </row>
    <row r="197" spans="1:10" x14ac:dyDescent="0.2">
      <c r="A197" s="2">
        <v>-1.5972</v>
      </c>
      <c r="B197" s="2">
        <v>1.5687</v>
      </c>
      <c r="C197">
        <f t="shared" si="42"/>
        <v>1.5829499999999999</v>
      </c>
      <c r="D197">
        <f t="shared" si="43"/>
        <v>2.7627689394444238E-2</v>
      </c>
      <c r="E197">
        <f t="shared" si="44"/>
        <v>4.0259297364678759E-2</v>
      </c>
      <c r="F197">
        <v>1.9362571965520894E-2</v>
      </c>
      <c r="G197" s="8">
        <f t="shared" si="45"/>
        <v>-6.2296409228546068E-4</v>
      </c>
      <c r="H197">
        <f t="shared" si="46"/>
        <v>1.5541139582749259E-24</v>
      </c>
    </row>
    <row r="198" spans="1:10" x14ac:dyDescent="0.2">
      <c r="A198" s="2">
        <v>1.8368</v>
      </c>
      <c r="B198" s="2">
        <v>1.8065</v>
      </c>
      <c r="C198">
        <f t="shared" si="42"/>
        <v>1.82165</v>
      </c>
      <c r="D198">
        <f t="shared" si="43"/>
        <v>3.1793790318954705E-2</v>
      </c>
      <c r="E198">
        <f t="shared" si="44"/>
        <v>4.6332323598537187E-2</v>
      </c>
      <c r="F198">
        <v>2.2129033559018709E-2</v>
      </c>
      <c r="G198" s="8">
        <f t="shared" si="45"/>
        <v>-8.2851588800636478E-4</v>
      </c>
      <c r="H198">
        <f t="shared" si="46"/>
        <v>2.0669058171224682E-24</v>
      </c>
    </row>
    <row r="199" spans="1:10" x14ac:dyDescent="0.2">
      <c r="A199" s="2">
        <v>-2.0472000000000001</v>
      </c>
      <c r="B199" s="2">
        <v>2.0158999999999998</v>
      </c>
      <c r="C199">
        <f t="shared" si="42"/>
        <v>2.0315500000000002</v>
      </c>
      <c r="D199">
        <f t="shared" si="43"/>
        <v>3.5457236418890807E-2</v>
      </c>
      <c r="E199">
        <f t="shared" si="44"/>
        <v>5.1673362016652888E-2</v>
      </c>
      <c r="F199">
        <v>2.4612699471291792E-2</v>
      </c>
      <c r="G199" s="8">
        <f t="shared" si="45"/>
        <v>-1.0322065641878986E-3</v>
      </c>
      <c r="H199">
        <f t="shared" si="46"/>
        <v>2.5750547248112331E-24</v>
      </c>
    </row>
    <row r="200" spans="1:10" x14ac:dyDescent="0.2">
      <c r="A200" s="2">
        <v>-2.2374999999999998</v>
      </c>
      <c r="B200" s="2">
        <v>2.2048999999999999</v>
      </c>
      <c r="C200">
        <f t="shared" si="42"/>
        <v>2.2211999999999996</v>
      </c>
      <c r="D200">
        <f t="shared" si="43"/>
        <v>3.8767253345298042E-2</v>
      </c>
      <c r="E200">
        <f t="shared" si="44"/>
        <v>5.6499796146531979E-2</v>
      </c>
      <c r="F200">
        <v>2.685611542747814E-2</v>
      </c>
      <c r="G200" s="8">
        <f t="shared" si="45"/>
        <v>-1.2355306748241812E-3</v>
      </c>
      <c r="H200">
        <f t="shared" si="46"/>
        <v>3.0822891582348639E-24</v>
      </c>
    </row>
    <row r="201" spans="1:10" x14ac:dyDescent="0.2">
      <c r="A201" s="2">
        <v>-2.4115000000000002</v>
      </c>
      <c r="B201" s="2">
        <v>2.3801999999999999</v>
      </c>
      <c r="C201">
        <f t="shared" si="42"/>
        <v>2.3958500000000003</v>
      </c>
      <c r="D201">
        <f t="shared" si="43"/>
        <v>4.181547088390615E-2</v>
      </c>
      <c r="E201">
        <f t="shared" si="44"/>
        <v>6.0945108814693276E-2</v>
      </c>
      <c r="F201">
        <v>2.8881465887362644E-2</v>
      </c>
      <c r="G201" s="8">
        <f>COS(E201)/COS(F201)-1</f>
        <v>-1.4401384296582886E-3</v>
      </c>
      <c r="H201">
        <f t="shared" si="46"/>
        <v>3.5927259100424955E-24</v>
      </c>
    </row>
    <row r="202" spans="1:10" x14ac:dyDescent="0.2">
      <c r="A202" s="2">
        <v>-2.4129999999999998</v>
      </c>
      <c r="B202" s="2">
        <v>2.5417999999999998</v>
      </c>
      <c r="C202">
        <f t="shared" si="42"/>
        <v>2.4773999999999998</v>
      </c>
      <c r="D202">
        <f t="shared" si="43"/>
        <v>4.3238786888907518E-2</v>
      </c>
      <c r="E202">
        <f t="shared" si="44"/>
        <v>6.3020991836573309E-2</v>
      </c>
      <c r="F202">
        <v>3.0798930405404979E-2</v>
      </c>
      <c r="G202" s="8">
        <f t="shared" ref="G202:G203" si="47">COS(E202)/COS(F202)-1</f>
        <v>-1.5116328687599934E-3</v>
      </c>
      <c r="H202">
        <f t="shared" si="46"/>
        <v>3.7710837112752544E-24</v>
      </c>
    </row>
    <row r="203" spans="1:10" x14ac:dyDescent="0.2">
      <c r="A203" s="2">
        <v>-2.5741999999999998</v>
      </c>
      <c r="B203" s="2">
        <v>2.6939000000000002</v>
      </c>
      <c r="C203">
        <f t="shared" si="42"/>
        <v>2.6340500000000002</v>
      </c>
      <c r="D203">
        <f t="shared" si="43"/>
        <v>4.5972845162156641E-2</v>
      </c>
      <c r="E203">
        <f t="shared" si="44"/>
        <v>6.7008979369987995E-2</v>
      </c>
      <c r="F203">
        <v>3.2674366439167636E-2</v>
      </c>
      <c r="G203" s="8">
        <f t="shared" si="47"/>
        <v>-1.7114155669948339E-3</v>
      </c>
      <c r="H203">
        <f t="shared" si="46"/>
        <v>4.2694833522714473E-24</v>
      </c>
    </row>
    <row r="207" spans="1:10" x14ac:dyDescent="0.2">
      <c r="A207" t="s">
        <v>24</v>
      </c>
      <c r="B207">
        <f>9.274009994*10^(-24)</f>
        <v>9.2740099940000005E-24</v>
      </c>
    </row>
    <row r="208" spans="1:10" x14ac:dyDescent="0.2">
      <c r="A208" t="s">
        <v>22</v>
      </c>
      <c r="B208">
        <f>1.60217662*10^(-19)</f>
        <v>1.6021766200000001E-19</v>
      </c>
    </row>
    <row r="209" spans="1:10" x14ac:dyDescent="0.2">
      <c r="A209" t="s">
        <v>20</v>
      </c>
      <c r="B209">
        <f>9.10938356*10^(-31)</f>
        <v>9.1093835599999998E-31</v>
      </c>
    </row>
    <row r="210" spans="1:10" x14ac:dyDescent="0.2">
      <c r="A210" t="s">
        <v>21</v>
      </c>
      <c r="B210">
        <f>6.62607015*10^(-31)</f>
        <v>6.6260701500000011E-31</v>
      </c>
    </row>
    <row r="211" spans="1:10" x14ac:dyDescent="0.2">
      <c r="A211" t="s">
        <v>19</v>
      </c>
      <c r="B211" s="2">
        <v>0.26900000000000002</v>
      </c>
    </row>
    <row r="212" spans="1:10" x14ac:dyDescent="0.2">
      <c r="A212" t="s">
        <v>18</v>
      </c>
      <c r="B212">
        <f>(B210/(4*PI()))*(B208/B209)*B211</f>
        <v>2.4947087280317671E-21</v>
      </c>
    </row>
    <row r="213" spans="1:10" x14ac:dyDescent="0.2">
      <c r="A213" t="s">
        <v>23</v>
      </c>
      <c r="B213">
        <f>B207*B211</f>
        <v>2.4947086883860004E-24</v>
      </c>
    </row>
    <row r="216" spans="1:10" x14ac:dyDescent="0.2">
      <c r="A216" t="s">
        <v>11</v>
      </c>
      <c r="B216">
        <v>9</v>
      </c>
    </row>
    <row r="217" spans="1:10" x14ac:dyDescent="0.2">
      <c r="A217" t="s">
        <v>12</v>
      </c>
      <c r="B217">
        <v>1.4570000000000001</v>
      </c>
    </row>
    <row r="218" spans="1:10" x14ac:dyDescent="0.2">
      <c r="A218" t="s">
        <v>13</v>
      </c>
      <c r="B218">
        <v>1</v>
      </c>
    </row>
    <row r="219" spans="1:10" x14ac:dyDescent="0.2">
      <c r="A219" t="s">
        <v>4</v>
      </c>
      <c r="B219" t="s">
        <v>5</v>
      </c>
      <c r="C219" t="s">
        <v>56</v>
      </c>
      <c r="D219" t="s">
        <v>14</v>
      </c>
      <c r="E219" t="s">
        <v>15</v>
      </c>
      <c r="F219" t="s">
        <v>16</v>
      </c>
      <c r="G219" t="s">
        <v>17</v>
      </c>
      <c r="H219" t="s">
        <v>25</v>
      </c>
      <c r="I219" t="s">
        <v>27</v>
      </c>
      <c r="J219" t="s">
        <v>26</v>
      </c>
    </row>
    <row r="220" spans="1:10" x14ac:dyDescent="0.2">
      <c r="A220" s="2">
        <v>-0.27650000000000002</v>
      </c>
      <c r="B220" s="2">
        <v>0.2422</v>
      </c>
      <c r="C220">
        <f t="shared" ref="C220:C229" si="48">(ABS(A220) + B220) / 2</f>
        <v>0.25935000000000002</v>
      </c>
      <c r="D220">
        <f>RADIANS(C220)</f>
        <v>4.5265114150472938E-3</v>
      </c>
      <c r="E220">
        <f>ASIN(($B$217/$B$218)*SIN(D220))</f>
        <v>6.5951524205443814E-3</v>
      </c>
      <c r="F220">
        <v>5.3503578182931772E-3</v>
      </c>
      <c r="G220" s="8">
        <f>COS(E220)/COS(F220)-1</f>
        <v>-7.4349150652741613E-6</v>
      </c>
      <c r="H220">
        <f>-(G220*$B$238)</f>
        <v>1.9651171148964987E-26</v>
      </c>
      <c r="I220">
        <f>AVERAGE(H220:H229)</f>
        <v>2.4527152691046398E-24</v>
      </c>
      <c r="J220" s="12">
        <f>ABS(I220-B239)/B239</f>
        <v>7.2028335784166134E-2</v>
      </c>
    </row>
    <row r="221" spans="1:10" x14ac:dyDescent="0.2">
      <c r="A221" s="2">
        <v>-0.95569999999999999</v>
      </c>
      <c r="B221" s="2">
        <v>0.92479999999999996</v>
      </c>
      <c r="C221">
        <f t="shared" si="48"/>
        <v>0.94025000000000003</v>
      </c>
      <c r="D221">
        <f t="shared" ref="D221:D229" si="49">RADIANS(C221)</f>
        <v>1.6410458291876685E-2</v>
      </c>
      <c r="E221">
        <f t="shared" ref="E221:E229" si="50">ASIN(($B$217/$B$218)*SIN(D221))</f>
        <v>2.3911243038278591E-2</v>
      </c>
      <c r="F221">
        <v>1.2076222779432417E-2</v>
      </c>
      <c r="G221" s="8">
        <f t="shared" ref="G221:G226" si="51">COS(E221)/COS(F221)-1</f>
        <v>-2.1295898755535614E-4</v>
      </c>
      <c r="H221">
        <f>-(G221*$B$238)</f>
        <v>5.6287038593174451E-25</v>
      </c>
    </row>
    <row r="222" spans="1:10" x14ac:dyDescent="0.2">
      <c r="A222" s="2">
        <v>-1.3176000000000001</v>
      </c>
      <c r="B222" s="2">
        <v>1.2847</v>
      </c>
      <c r="C222">
        <f t="shared" si="48"/>
        <v>1.30115</v>
      </c>
      <c r="D222">
        <f t="shared" si="49"/>
        <v>2.2709351562324221E-2</v>
      </c>
      <c r="E222">
        <f t="shared" si="50"/>
        <v>3.309072004842669E-2</v>
      </c>
      <c r="F222">
        <v>1.6128836015868692E-2</v>
      </c>
      <c r="G222" s="8">
        <f t="shared" si="51"/>
        <v>-4.1743535805116583E-4</v>
      </c>
      <c r="H222">
        <f t="shared" ref="H222:H229" si="52">-(G222*$B$238)</f>
        <v>1.1033204270223162E-24</v>
      </c>
    </row>
    <row r="223" spans="1:10" x14ac:dyDescent="0.2">
      <c r="A223" s="2">
        <v>-1.5988</v>
      </c>
      <c r="B223" s="2">
        <v>1.5672999999999999</v>
      </c>
      <c r="C223">
        <f t="shared" si="48"/>
        <v>1.5830500000000001</v>
      </c>
      <c r="D223">
        <f t="shared" si="49"/>
        <v>2.7629434723696236E-2</v>
      </c>
      <c r="E223">
        <f t="shared" si="50"/>
        <v>4.0261841400450603E-2</v>
      </c>
      <c r="F223">
        <v>1.9362571965520894E-2</v>
      </c>
      <c r="G223" s="8">
        <f t="shared" si="51"/>
        <v>-6.2306650814381026E-4</v>
      </c>
      <c r="H223">
        <f t="shared" si="52"/>
        <v>1.6468226578551382E-24</v>
      </c>
    </row>
    <row r="224" spans="1:10" x14ac:dyDescent="0.2">
      <c r="A224" s="2">
        <v>-1.8359000000000001</v>
      </c>
      <c r="B224" s="2">
        <v>1.8050999999999999</v>
      </c>
      <c r="C224">
        <f t="shared" si="48"/>
        <v>1.8205</v>
      </c>
      <c r="D224">
        <f t="shared" si="49"/>
        <v>3.1773719032556769E-2</v>
      </c>
      <c r="E224">
        <f t="shared" si="50"/>
        <v>4.6303063123132218E-2</v>
      </c>
      <c r="F224">
        <v>2.2129033559018709E-2</v>
      </c>
      <c r="G224" s="8">
        <f t="shared" si="51"/>
        <v>-8.2716076302824515E-4</v>
      </c>
      <c r="H224">
        <f t="shared" si="52"/>
        <v>2.1862627318900149E-24</v>
      </c>
    </row>
    <row r="225" spans="1:8" x14ac:dyDescent="0.2">
      <c r="A225" s="2">
        <v>-2.0478000000000001</v>
      </c>
      <c r="B225" s="2">
        <v>2.0143</v>
      </c>
      <c r="C225">
        <f t="shared" si="48"/>
        <v>2.03105</v>
      </c>
      <c r="D225">
        <f t="shared" si="49"/>
        <v>3.544850977263083E-2</v>
      </c>
      <c r="E225">
        <f t="shared" si="50"/>
        <v>5.1660638303758694E-2</v>
      </c>
      <c r="F225">
        <v>2.4612699471291792E-2</v>
      </c>
      <c r="G225" s="8">
        <f t="shared" si="51"/>
        <v>-1.0315492614748623E-3</v>
      </c>
      <c r="H225">
        <f t="shared" si="52"/>
        <v>2.7264805189921103E-24</v>
      </c>
    </row>
    <row r="226" spans="1:8" x14ac:dyDescent="0.2">
      <c r="A226" s="2">
        <v>-2.2378</v>
      </c>
      <c r="B226" s="2">
        <v>2.2042999999999999</v>
      </c>
      <c r="C226">
        <f t="shared" si="48"/>
        <v>2.22105</v>
      </c>
      <c r="D226">
        <f t="shared" si="49"/>
        <v>3.8764635351420058E-2</v>
      </c>
      <c r="E226">
        <f t="shared" si="50"/>
        <v>5.6495978503884242E-2</v>
      </c>
      <c r="F226">
        <v>2.685611542747814E-2</v>
      </c>
      <c r="G226" s="8">
        <f t="shared" si="51"/>
        <v>-1.2353150230435261E-3</v>
      </c>
      <c r="H226">
        <f t="shared" si="52"/>
        <v>3.2650523546795632E-24</v>
      </c>
    </row>
    <row r="227" spans="1:8" x14ac:dyDescent="0.2">
      <c r="A227" s="2">
        <v>-2.4125999999999999</v>
      </c>
      <c r="B227" s="2">
        <v>2.3791000000000002</v>
      </c>
      <c r="C227">
        <f t="shared" si="48"/>
        <v>2.3958500000000003</v>
      </c>
      <c r="D227">
        <f t="shared" si="49"/>
        <v>4.181547088390615E-2</v>
      </c>
      <c r="E227">
        <f t="shared" si="50"/>
        <v>6.0945108814693276E-2</v>
      </c>
      <c r="F227">
        <v>2.8881465887362644E-2</v>
      </c>
      <c r="G227" s="8">
        <f>COS(E227)/COS(F227)-1</f>
        <v>-1.4401384296582886E-3</v>
      </c>
      <c r="H227">
        <f t="shared" si="52"/>
        <v>3.8064196444688144E-24</v>
      </c>
    </row>
    <row r="228" spans="1:8" x14ac:dyDescent="0.2">
      <c r="A228" s="2">
        <v>-2.5747</v>
      </c>
      <c r="B228" s="2">
        <v>2.5406</v>
      </c>
      <c r="C228">
        <f t="shared" si="48"/>
        <v>2.5576499999999998</v>
      </c>
      <c r="D228">
        <f t="shared" si="49"/>
        <v>4.4639413613632967E-2</v>
      </c>
      <c r="E228">
        <f t="shared" si="50"/>
        <v>6.5063923579059935E-2</v>
      </c>
      <c r="F228">
        <v>3.0798930405404979E-2</v>
      </c>
      <c r="G228" s="8">
        <f t="shared" ref="G228:G229" si="53">COS(E228)/COS(F228)-1</f>
        <v>-1.6424398344198066E-3</v>
      </c>
      <c r="H228">
        <f t="shared" si="52"/>
        <v>4.3411210490904468E-24</v>
      </c>
    </row>
    <row r="229" spans="1:8" x14ac:dyDescent="0.2">
      <c r="A229" s="2">
        <v>-2.7271000000000001</v>
      </c>
      <c r="B229" s="2">
        <v>2.6922000000000001</v>
      </c>
      <c r="C229">
        <f t="shared" si="48"/>
        <v>2.7096499999999999</v>
      </c>
      <c r="D229">
        <f t="shared" si="49"/>
        <v>4.729231407666435E-2</v>
      </c>
      <c r="E229">
        <f t="shared" si="50"/>
        <v>6.8933800550244687E-2</v>
      </c>
      <c r="F229">
        <v>3.2674366439167636E-2</v>
      </c>
      <c r="G229" s="8">
        <f t="shared" si="53"/>
        <v>-1.8422174142452841E-3</v>
      </c>
      <c r="H229">
        <f t="shared" si="52"/>
        <v>4.8691517499672841E-24</v>
      </c>
    </row>
    <row r="233" spans="1:8" x14ac:dyDescent="0.2">
      <c r="A233" t="s">
        <v>24</v>
      </c>
      <c r="B233">
        <f>9.274009994*10^(-24)</f>
        <v>9.2740099940000005E-24</v>
      </c>
    </row>
    <row r="234" spans="1:8" x14ac:dyDescent="0.2">
      <c r="A234" t="s">
        <v>22</v>
      </c>
      <c r="B234">
        <f>1.60217662*10^(-19)</f>
        <v>1.6021766200000001E-19</v>
      </c>
    </row>
    <row r="235" spans="1:8" x14ac:dyDescent="0.2">
      <c r="A235" t="s">
        <v>20</v>
      </c>
      <c r="B235">
        <f>9.10938356*10^(-31)</f>
        <v>9.1093835599999998E-31</v>
      </c>
    </row>
    <row r="236" spans="1:8" x14ac:dyDescent="0.2">
      <c r="A236" t="s">
        <v>21</v>
      </c>
      <c r="B236">
        <f>6.62607015*10^(-31)</f>
        <v>6.6260701500000011E-31</v>
      </c>
    </row>
    <row r="237" spans="1:8" x14ac:dyDescent="0.2">
      <c r="A237" t="s">
        <v>19</v>
      </c>
      <c r="B237" s="2">
        <v>0.28499999999999998</v>
      </c>
    </row>
    <row r="238" spans="1:8" x14ac:dyDescent="0.2">
      <c r="A238" t="s">
        <v>18</v>
      </c>
      <c r="B238">
        <f>(B236/(4*PI()))*(B234/B235)*B237</f>
        <v>2.6430928902938791E-21</v>
      </c>
    </row>
    <row r="239" spans="1:8" x14ac:dyDescent="0.2">
      <c r="A239" t="s">
        <v>23</v>
      </c>
      <c r="B239">
        <f>B233*B237</f>
        <v>2.64309284829E-24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6"/>
  <sheetViews>
    <sheetView workbookViewId="0">
      <selection activeCell="G13" sqref="G13"/>
    </sheetView>
  </sheetViews>
  <sheetFormatPr baseColWidth="10" defaultColWidth="8.83203125" defaultRowHeight="15" x14ac:dyDescent="0.2"/>
  <cols>
    <col min="2" max="2" width="19" customWidth="1"/>
    <col min="3" max="3" width="17.33203125" customWidth="1"/>
    <col min="4" max="4" width="17.5" customWidth="1"/>
    <col min="5" max="5" width="17.1640625" customWidth="1"/>
    <col min="6" max="6" width="16.6640625" customWidth="1"/>
    <col min="9" max="9" width="5.6640625" customWidth="1"/>
    <col min="10" max="10" width="8.6640625" bestFit="1" customWidth="1"/>
    <col min="11" max="11" width="9.6640625" bestFit="1" customWidth="1"/>
    <col min="12" max="12" width="11" bestFit="1" customWidth="1"/>
    <col min="13" max="13" width="12.83203125" bestFit="1" customWidth="1"/>
    <col min="14" max="14" width="13.1640625" bestFit="1" customWidth="1"/>
  </cols>
  <sheetData>
    <row r="2" spans="1:14" x14ac:dyDescent="0.2">
      <c r="A2" s="20" t="s">
        <v>54</v>
      </c>
      <c r="B2" s="20"/>
      <c r="C2" s="20"/>
      <c r="D2" s="20"/>
      <c r="E2" s="20"/>
      <c r="F2" s="20"/>
      <c r="I2" s="20" t="s">
        <v>55</v>
      </c>
      <c r="J2" s="20"/>
      <c r="K2" s="20"/>
      <c r="L2" s="20"/>
      <c r="M2" s="20"/>
      <c r="N2" s="20"/>
    </row>
    <row r="3" spans="1:14" x14ac:dyDescent="0.2">
      <c r="A3" t="s">
        <v>11</v>
      </c>
      <c r="B3">
        <v>6</v>
      </c>
      <c r="I3" t="s">
        <v>11</v>
      </c>
      <c r="J3">
        <v>3</v>
      </c>
    </row>
    <row r="4" spans="1:14" x14ac:dyDescent="0.2">
      <c r="A4" t="s">
        <v>12</v>
      </c>
      <c r="B4">
        <v>1.4570000000000001</v>
      </c>
      <c r="I4" t="s">
        <v>12</v>
      </c>
      <c r="J4">
        <v>1.4570000000000001</v>
      </c>
    </row>
    <row r="5" spans="1:14" x14ac:dyDescent="0.2">
      <c r="A5" t="s">
        <v>13</v>
      </c>
      <c r="B5">
        <v>1</v>
      </c>
      <c r="I5" t="s">
        <v>13</v>
      </c>
      <c r="J5">
        <v>1</v>
      </c>
    </row>
    <row r="6" spans="1:14" x14ac:dyDescent="0.2">
      <c r="B6" t="s">
        <v>4</v>
      </c>
      <c r="C6" t="s">
        <v>5</v>
      </c>
      <c r="D6" t="s">
        <v>56</v>
      </c>
      <c r="E6" t="s">
        <v>14</v>
      </c>
      <c r="F6" t="s">
        <v>16</v>
      </c>
      <c r="J6" t="s">
        <v>4</v>
      </c>
      <c r="K6" t="s">
        <v>5</v>
      </c>
      <c r="L6" t="s">
        <v>6</v>
      </c>
      <c r="M6" t="s">
        <v>14</v>
      </c>
      <c r="N6" t="s">
        <v>16</v>
      </c>
    </row>
    <row r="7" spans="1:14" x14ac:dyDescent="0.2">
      <c r="B7">
        <v>-0.4002</v>
      </c>
      <c r="C7">
        <v>0.44590000000000002</v>
      </c>
      <c r="D7">
        <f>(ABS(B7)+C7)/2</f>
        <v>0.42305000000000004</v>
      </c>
      <c r="E7" s="14">
        <f>RADIANS(D7)</f>
        <v>7.383615400562012E-3</v>
      </c>
      <c r="F7">
        <f>ASIN(($B$4/$B$5)*SIN(E7))</f>
        <v>1.0758037402206539E-2</v>
      </c>
      <c r="J7">
        <v>-0.45989999999999998</v>
      </c>
      <c r="K7">
        <v>0.43340000000000001</v>
      </c>
      <c r="L7">
        <v>0.44664999999999999</v>
      </c>
      <c r="M7">
        <v>7.7955131040326727E-3</v>
      </c>
      <c r="N7">
        <v>1.1358191770311653E-2</v>
      </c>
    </row>
    <row r="8" spans="1:14" x14ac:dyDescent="0.2">
      <c r="B8" s="3">
        <v>-0.97350000000000003</v>
      </c>
      <c r="C8" s="3">
        <v>1.0163</v>
      </c>
      <c r="D8">
        <f>(ABS(B8)+C8)/2</f>
        <v>0.99490000000000001</v>
      </c>
      <c r="E8" s="14">
        <f>RADIANS(D8)</f>
        <v>1.7364280728091586E-2</v>
      </c>
      <c r="F8">
        <f>ASIN(($B$4/$B$5)*SIN(E8))</f>
        <v>2.530118498930696E-2</v>
      </c>
      <c r="J8">
        <v>-1.0215000000000001</v>
      </c>
      <c r="K8">
        <v>0.99480000000000002</v>
      </c>
      <c r="L8">
        <v>1.0081500000000001</v>
      </c>
      <c r="M8">
        <v>1.7595536853980836E-2</v>
      </c>
      <c r="N8">
        <v>2.5638182991518654E-2</v>
      </c>
    </row>
    <row r="9" spans="1:14" x14ac:dyDescent="0.2">
      <c r="B9" s="3">
        <v>-1.3186</v>
      </c>
      <c r="C9" s="3">
        <v>1.3609</v>
      </c>
      <c r="D9">
        <f t="shared" ref="D9:D16" si="0">(ABS(B9)+C9)/2</f>
        <v>1.33975</v>
      </c>
      <c r="E9" s="14">
        <f t="shared" ref="E9:E16" si="1">RADIANS(D9)</f>
        <v>2.338304865359403E-2</v>
      </c>
      <c r="F9">
        <f t="shared" ref="F9:F14" si="2">ASIN(($B$4/$B$5)*SIN(E9))</f>
        <v>3.4072589660379453E-2</v>
      </c>
      <c r="J9">
        <v>-1.3576999999999999</v>
      </c>
      <c r="K9">
        <v>1.3352999999999999</v>
      </c>
      <c r="L9">
        <v>1.3464999999999998</v>
      </c>
      <c r="M9">
        <v>2.3500858378103645E-2</v>
      </c>
      <c r="N9">
        <v>3.4244291429592566E-2</v>
      </c>
    </row>
    <row r="10" spans="1:14" x14ac:dyDescent="0.2">
      <c r="B10" s="3">
        <v>-1.5894999999999999</v>
      </c>
      <c r="C10" s="3">
        <v>1.6346000000000001</v>
      </c>
      <c r="D10">
        <f t="shared" si="0"/>
        <v>1.61205</v>
      </c>
      <c r="E10" s="14">
        <f t="shared" si="1"/>
        <v>2.8135580206774591E-2</v>
      </c>
      <c r="F10">
        <f t="shared" si="2"/>
        <v>4.0999617633193791E-2</v>
      </c>
      <c r="J10">
        <v>-1.6263000000000001</v>
      </c>
      <c r="K10">
        <v>1.6067</v>
      </c>
      <c r="L10">
        <v>1.6165</v>
      </c>
      <c r="M10">
        <v>2.8213247358488337E-2</v>
      </c>
      <c r="N10">
        <v>4.1112829164802918E-2</v>
      </c>
    </row>
    <row r="11" spans="1:14" x14ac:dyDescent="0.2">
      <c r="B11" s="3">
        <v>-1.8225</v>
      </c>
      <c r="C11" s="3">
        <v>1.8668</v>
      </c>
      <c r="D11">
        <f t="shared" si="0"/>
        <v>1.8446500000000001</v>
      </c>
      <c r="E11" s="14">
        <f t="shared" si="1"/>
        <v>3.2195216046913402E-2</v>
      </c>
      <c r="F11">
        <f t="shared" si="2"/>
        <v>4.6917537538254443E-2</v>
      </c>
      <c r="J11">
        <v>-1.8593999999999999</v>
      </c>
      <c r="K11">
        <v>1.8355999999999999</v>
      </c>
      <c r="L11">
        <v>1.8474999999999999</v>
      </c>
      <c r="M11">
        <v>3.2244957930595237E-2</v>
      </c>
      <c r="N11">
        <v>4.6990053769311847E-2</v>
      </c>
    </row>
    <row r="12" spans="1:14" x14ac:dyDescent="0.2">
      <c r="B12" s="3">
        <f>-2.0294</f>
        <v>-2.0293999999999999</v>
      </c>
      <c r="C12" s="3">
        <v>2.0733000000000001</v>
      </c>
      <c r="D12">
        <f t="shared" si="0"/>
        <v>2.0513500000000002</v>
      </c>
      <c r="E12" s="14">
        <f t="shared" si="1"/>
        <v>3.5802811610785683E-2</v>
      </c>
      <c r="F12">
        <f t="shared" si="2"/>
        <v>5.2177224623320986E-2</v>
      </c>
      <c r="J12">
        <v>-2.0638000000000001</v>
      </c>
      <c r="K12">
        <v>2.0459999999999998</v>
      </c>
      <c r="L12">
        <v>2.0548999999999999</v>
      </c>
      <c r="M12">
        <v>3.5864770799231477E-2</v>
      </c>
      <c r="N12">
        <v>5.2267564366424886E-2</v>
      </c>
    </row>
    <row r="13" spans="1:14" x14ac:dyDescent="0.2">
      <c r="B13" s="3">
        <v>-2.2162000000000002</v>
      </c>
      <c r="C13" s="3">
        <v>2.2601</v>
      </c>
      <c r="D13">
        <f t="shared" si="0"/>
        <v>2.2381500000000001</v>
      </c>
      <c r="E13" s="14">
        <f t="shared" si="1"/>
        <v>3.9063086653511089E-2</v>
      </c>
      <c r="F13">
        <f t="shared" si="2"/>
        <v>5.6931192585486068E-2</v>
      </c>
      <c r="J13">
        <v>-2.2526000000000002</v>
      </c>
      <c r="K13">
        <v>2.2319</v>
      </c>
      <c r="L13">
        <v>2.2422500000000003</v>
      </c>
      <c r="M13">
        <v>3.9134645152842859E-2</v>
      </c>
      <c r="N13">
        <v>5.703554300889755E-2</v>
      </c>
    </row>
    <row r="14" spans="1:14" x14ac:dyDescent="0.2">
      <c r="B14" s="3">
        <v>-2.3889999999999998</v>
      </c>
      <c r="C14" s="3">
        <v>2.4321999999999999</v>
      </c>
      <c r="D14">
        <f t="shared" si="0"/>
        <v>2.4105999999999996</v>
      </c>
      <c r="E14" s="14">
        <f t="shared" si="1"/>
        <v>4.2072906948575302E-2</v>
      </c>
      <c r="F14">
        <f t="shared" si="2"/>
        <v>6.1320564627413338E-2</v>
      </c>
      <c r="J14">
        <v>-2.4203999999999999</v>
      </c>
      <c r="K14">
        <v>2.4024000000000001</v>
      </c>
      <c r="L14">
        <v>2.4114</v>
      </c>
      <c r="M14">
        <v>4.2086869582591266E-2</v>
      </c>
      <c r="N14">
        <v>6.1340928463369152E-2</v>
      </c>
    </row>
    <row r="15" spans="1:14" x14ac:dyDescent="0.2">
      <c r="B15" s="3">
        <v>-2.5495000000000001</v>
      </c>
      <c r="C15" s="3">
        <v>2.5924999999999998</v>
      </c>
      <c r="D15">
        <f t="shared" si="0"/>
        <v>2.5709999999999997</v>
      </c>
      <c r="E15" s="14">
        <f t="shared" si="1"/>
        <v>4.4872415068774207E-2</v>
      </c>
      <c r="F15">
        <f>ASIN(($B$4/$B$5)*SIN(E15))</f>
        <v>6.5403789635005108E-2</v>
      </c>
      <c r="J15">
        <v>-2.5823999999999998</v>
      </c>
      <c r="K15">
        <v>2.5607000000000002</v>
      </c>
      <c r="L15">
        <v>2.5715500000000002</v>
      </c>
      <c r="M15">
        <v>4.4882014379660183E-2</v>
      </c>
      <c r="N15">
        <v>6.5417791693204344E-2</v>
      </c>
    </row>
    <row r="16" spans="1:14" x14ac:dyDescent="0.2">
      <c r="B16" s="3">
        <v>-2.7010000000000001</v>
      </c>
      <c r="C16" s="3">
        <v>2.7433000000000001</v>
      </c>
      <c r="D16">
        <f t="shared" si="0"/>
        <v>2.7221500000000001</v>
      </c>
      <c r="E16" s="14">
        <f t="shared" si="1"/>
        <v>4.7510480233163642E-2</v>
      </c>
      <c r="F16">
        <f>ASIN(($B$4/$B$5)*SIN(E16))</f>
        <v>6.9252070983029698E-2</v>
      </c>
      <c r="J16">
        <v>-2.7404999999999999</v>
      </c>
      <c r="K16">
        <v>2.7159</v>
      </c>
      <c r="L16">
        <v>2.7282000000000002</v>
      </c>
      <c r="M16">
        <v>4.7616072652909298E-2</v>
      </c>
      <c r="N16">
        <v>6.9406115209123487E-2</v>
      </c>
    </row>
  </sheetData>
  <mergeCells count="2">
    <mergeCell ref="A2:F2"/>
    <mergeCell ref="I2:N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B69"/>
  <sheetViews>
    <sheetView workbookViewId="0">
      <selection activeCell="N15" sqref="N15"/>
    </sheetView>
  </sheetViews>
  <sheetFormatPr baseColWidth="10" defaultColWidth="8.83203125" defaultRowHeight="15" x14ac:dyDescent="0.2"/>
  <cols>
    <col min="1" max="1" width="12.1640625" bestFit="1" customWidth="1"/>
    <col min="2" max="2" width="13" customWidth="1"/>
    <col min="3" max="3" width="15.1640625" customWidth="1"/>
    <col min="4" max="4" width="13.1640625" customWidth="1"/>
    <col min="5" max="5" width="10.6640625" customWidth="1"/>
    <col min="6" max="6" width="13.1640625" customWidth="1"/>
    <col min="7" max="7" width="13.83203125" customWidth="1"/>
    <col min="8" max="8" width="17.5" bestFit="1" customWidth="1"/>
    <col min="9" max="9" width="17" bestFit="1" customWidth="1"/>
    <col min="10" max="10" width="17.1640625" bestFit="1" customWidth="1"/>
    <col min="11" max="11" width="17" bestFit="1" customWidth="1"/>
    <col min="12" max="12" width="13.1640625" bestFit="1" customWidth="1"/>
    <col min="13" max="13" width="11.33203125" customWidth="1"/>
    <col min="14" max="14" width="13.1640625" bestFit="1" customWidth="1"/>
    <col min="15" max="15" width="21" bestFit="1" customWidth="1"/>
    <col min="16" max="16" width="20.1640625" bestFit="1" customWidth="1"/>
    <col min="17" max="17" width="11.83203125" bestFit="1" customWidth="1"/>
    <col min="18" max="18" width="12" bestFit="1" customWidth="1"/>
    <col min="19" max="19" width="17.1640625" bestFit="1" customWidth="1"/>
    <col min="20" max="20" width="17.33203125" bestFit="1" customWidth="1"/>
    <col min="21" max="21" width="16.83203125" customWidth="1"/>
    <col min="22" max="22" width="17.1640625" customWidth="1"/>
    <col min="23" max="23" width="16.6640625" customWidth="1"/>
    <col min="24" max="24" width="13.1640625" bestFit="1" customWidth="1"/>
    <col min="25" max="25" width="17.5" customWidth="1"/>
    <col min="26" max="27" width="11.83203125" bestFit="1" customWidth="1"/>
    <col min="28" max="28" width="12.1640625" bestFit="1" customWidth="1"/>
  </cols>
  <sheetData>
    <row r="2" spans="1:28" x14ac:dyDescent="0.2">
      <c r="A2" t="s">
        <v>24</v>
      </c>
      <c r="B2">
        <f>9.274009994*10^(-24)</f>
        <v>9.2740099940000005E-24</v>
      </c>
      <c r="V2" s="7"/>
      <c r="W2" s="10"/>
    </row>
    <row r="3" spans="1:28" x14ac:dyDescent="0.2">
      <c r="A3" t="s">
        <v>22</v>
      </c>
      <c r="B3">
        <f>1.60217662*10^(-19)</f>
        <v>1.6021766200000001E-19</v>
      </c>
      <c r="V3" s="7"/>
    </row>
    <row r="4" spans="1:28" x14ac:dyDescent="0.2">
      <c r="A4" t="s">
        <v>20</v>
      </c>
      <c r="B4">
        <f>9.10938356*10^(-31)</f>
        <v>9.1093835599999998E-31</v>
      </c>
      <c r="V4" s="7"/>
    </row>
    <row r="5" spans="1:28" x14ac:dyDescent="0.2">
      <c r="A5" t="s">
        <v>21</v>
      </c>
      <c r="B5">
        <f>6.62607015*10^(-31)</f>
        <v>6.6260701500000011E-31</v>
      </c>
      <c r="V5" s="7"/>
    </row>
    <row r="6" spans="1:28" x14ac:dyDescent="0.2">
      <c r="A6" t="s">
        <v>19</v>
      </c>
      <c r="B6" s="2">
        <v>0.1221</v>
      </c>
      <c r="C6" t="s">
        <v>12</v>
      </c>
      <c r="D6">
        <v>1.4570000000000001</v>
      </c>
      <c r="V6" s="7"/>
      <c r="AB6" s="9"/>
    </row>
    <row r="7" spans="1:28" x14ac:dyDescent="0.2">
      <c r="C7" t="s">
        <v>13</v>
      </c>
      <c r="D7">
        <v>1</v>
      </c>
      <c r="V7" s="4"/>
      <c r="W7" s="6"/>
      <c r="Y7" s="8"/>
      <c r="AB7" s="9"/>
    </row>
    <row r="8" spans="1:28" x14ac:dyDescent="0.2">
      <c r="W8" s="6"/>
      <c r="Y8" s="8"/>
    </row>
    <row r="9" spans="1:28" x14ac:dyDescent="0.2">
      <c r="W9" s="6"/>
      <c r="Y9" s="8"/>
    </row>
    <row r="10" spans="1:28" x14ac:dyDescent="0.2">
      <c r="W10" s="6"/>
      <c r="Y10" s="8"/>
    </row>
    <row r="11" spans="1:28" x14ac:dyDescent="0.2">
      <c r="A11" t="s">
        <v>19</v>
      </c>
      <c r="B11" s="2">
        <v>0.22800000000000001</v>
      </c>
      <c r="W11" s="6"/>
      <c r="Y11" s="8"/>
    </row>
    <row r="12" spans="1:28" x14ac:dyDescent="0.2">
      <c r="A12" t="s">
        <v>18</v>
      </c>
      <c r="B12">
        <f>($B$5/(4*PI()))*($B$3/$B$4)*B11</f>
        <v>2.1144743122351035E-21</v>
      </c>
      <c r="W12" s="6"/>
      <c r="Y12" s="8"/>
    </row>
    <row r="13" spans="1:28" x14ac:dyDescent="0.2">
      <c r="A13" t="s">
        <v>23</v>
      </c>
      <c r="B13">
        <f>$B$2*B11</f>
        <v>2.1144742786320003E-24</v>
      </c>
      <c r="W13" s="6"/>
      <c r="Y13" s="8"/>
    </row>
    <row r="14" spans="1:28" x14ac:dyDescent="0.2">
      <c r="A14" s="4" t="s">
        <v>36</v>
      </c>
      <c r="B14" s="4" t="s">
        <v>7</v>
      </c>
      <c r="C14" s="4" t="s">
        <v>8</v>
      </c>
      <c r="D14" s="4"/>
      <c r="E14" s="4" t="s">
        <v>9</v>
      </c>
      <c r="F14" s="4" t="s">
        <v>10</v>
      </c>
      <c r="H14" t="s">
        <v>57</v>
      </c>
      <c r="I14" t="s">
        <v>58</v>
      </c>
      <c r="J14" t="s">
        <v>40</v>
      </c>
      <c r="K14" t="s">
        <v>41</v>
      </c>
      <c r="L14" t="s">
        <v>42</v>
      </c>
      <c r="M14" t="s">
        <v>43</v>
      </c>
      <c r="N14" t="s">
        <v>16</v>
      </c>
      <c r="O14" t="s">
        <v>44</v>
      </c>
      <c r="P14" t="s">
        <v>45</v>
      </c>
      <c r="Q14" t="s">
        <v>46</v>
      </c>
      <c r="R14" t="s">
        <v>47</v>
      </c>
      <c r="S14" t="s">
        <v>48</v>
      </c>
      <c r="T14" t="s">
        <v>49</v>
      </c>
      <c r="U14" s="9" t="s">
        <v>50</v>
      </c>
      <c r="V14" s="9" t="s">
        <v>51</v>
      </c>
      <c r="W14" s="6"/>
      <c r="Y14" s="8"/>
    </row>
    <row r="15" spans="1:28" x14ac:dyDescent="0.2">
      <c r="A15" s="4"/>
      <c r="B15" s="13">
        <v>-0.50609999999999999</v>
      </c>
      <c r="C15" s="13">
        <v>-0.2621</v>
      </c>
      <c r="D15" s="13"/>
      <c r="E15" s="13">
        <v>0.30270000000000002</v>
      </c>
      <c r="F15" s="13">
        <v>0.5494</v>
      </c>
      <c r="H15">
        <f>(ABS(B15)+F15)/2</f>
        <v>0.52774999999999994</v>
      </c>
      <c r="I15">
        <f>(ABS(C15)+E15)/2</f>
        <v>0.28239999999999998</v>
      </c>
      <c r="J15">
        <f>RADIANS(H15)</f>
        <v>9.2109751274000728E-3</v>
      </c>
      <c r="K15">
        <f>RADIANS(I15)</f>
        <v>4.9288098076319866E-3</v>
      </c>
      <c r="L15" s="6">
        <f t="shared" ref="L15:L24" si="0">ASIN(($D$7/$D$6)*SIN(J15))</f>
        <v>6.3218299482538402E-3</v>
      </c>
      <c r="M15" s="6">
        <f t="shared" ref="M15:M24" si="1">ASIN(($D$7/$D$6)*SIN(K15))</f>
        <v>3.3828409417501768E-3</v>
      </c>
      <c r="N15">
        <v>1.0758037E-2</v>
      </c>
      <c r="O15" s="8">
        <f>COS(M15)/COS(N15)-1</f>
        <v>5.2148338649748993E-5</v>
      </c>
      <c r="P15" s="8">
        <f>COS(L15)/COS(N15)-1</f>
        <v>3.7886613931226165E-5</v>
      </c>
      <c r="Q15" s="8">
        <f t="shared" ref="Q15:Q24" si="2">-O15*B$12</f>
        <v>-1.1026632250063127E-25</v>
      </c>
      <c r="R15" s="8">
        <f t="shared" ref="R15:R24" si="3">-P15*B$12</f>
        <v>-8.0110271935146337E-26</v>
      </c>
      <c r="S15" s="8">
        <f>AVERAGE(Q15:Q24)</f>
        <v>-2.0405987142399466E-24</v>
      </c>
      <c r="T15" s="8">
        <f>AVERAGE(R15:R23)</f>
        <v>-1.7971846817478543E-24</v>
      </c>
      <c r="U15" s="9">
        <f>ABS(ABS(S15)-B13)/B13</f>
        <v>3.4938029343089934E-2</v>
      </c>
      <c r="V15" s="9">
        <f>ABS(ABS(T15)-B13)/B13</f>
        <v>0.15005602105948651</v>
      </c>
      <c r="W15" s="4"/>
    </row>
    <row r="16" spans="1:28" x14ac:dyDescent="0.2">
      <c r="A16" s="4"/>
      <c r="B16" s="13">
        <v>-1.0202</v>
      </c>
      <c r="C16" s="13">
        <v>-0.92220000000000002</v>
      </c>
      <c r="D16" s="13"/>
      <c r="E16" s="13">
        <v>0.96789999999999998</v>
      </c>
      <c r="F16" s="13">
        <v>1.0640000000000001</v>
      </c>
      <c r="H16">
        <f>(ABS(B16)+F16)/2</f>
        <v>1.0421</v>
      </c>
      <c r="I16">
        <f t="shared" ref="I16:I21" si="4">(ABS(C16)+E16)/2</f>
        <v>0.94504999999999995</v>
      </c>
      <c r="J16">
        <f t="shared" ref="J16:J21" si="5">RADIANS(H16)</f>
        <v>1.8188076135032909E-2</v>
      </c>
      <c r="K16">
        <f t="shared" ref="K16:K21" si="6">RADIANS(I16)</f>
        <v>1.6494234095972411E-2</v>
      </c>
      <c r="L16" s="6">
        <f t="shared" si="0"/>
        <v>1.2482872818882693E-2</v>
      </c>
      <c r="M16" s="6">
        <f t="shared" si="1"/>
        <v>1.1320410766349749E-2</v>
      </c>
      <c r="N16">
        <v>2.5301185E-2</v>
      </c>
      <c r="O16" s="8">
        <f t="shared" ref="O16:O21" si="7">COS(M16)/COS(N16)-1</f>
        <v>2.5606469675509835E-4</v>
      </c>
      <c r="P16" s="8">
        <f t="shared" ref="P16:P21" si="8">COS(L16)/COS(N16)-1</f>
        <v>2.4222538782892045E-4</v>
      </c>
      <c r="Q16" s="8">
        <f t="shared" si="2"/>
        <v>-5.4144222355892692E-25</v>
      </c>
      <c r="R16" s="8">
        <f t="shared" si="3"/>
        <v>-5.121793603354378E-25</v>
      </c>
      <c r="S16" s="8"/>
      <c r="T16" s="8"/>
      <c r="W16" s="6"/>
      <c r="Y16" s="11"/>
      <c r="Z16" s="8"/>
      <c r="AB16" s="9"/>
    </row>
    <row r="17" spans="1:26" x14ac:dyDescent="0.2">
      <c r="A17" s="4"/>
      <c r="B17" s="13">
        <v>-1.3534999999999999</v>
      </c>
      <c r="C17" s="13">
        <v>-1.2830999999999999</v>
      </c>
      <c r="D17" s="13"/>
      <c r="E17" s="13">
        <v>1.3280000000000001</v>
      </c>
      <c r="F17" s="13">
        <v>1.4000999999999999</v>
      </c>
      <c r="H17">
        <f t="shared" ref="H17:H21" si="9">(ABS(B17)+F17)/2</f>
        <v>1.3767999999999998</v>
      </c>
      <c r="I17">
        <f t="shared" si="4"/>
        <v>1.30555</v>
      </c>
      <c r="J17">
        <f t="shared" si="5"/>
        <v>2.4029693141457927E-2</v>
      </c>
      <c r="K17">
        <f t="shared" si="6"/>
        <v>2.2786146049411968E-2</v>
      </c>
      <c r="L17" s="6">
        <f t="shared" si="0"/>
        <v>1.6491743192932628E-2</v>
      </c>
      <c r="M17" s="6">
        <f t="shared" si="1"/>
        <v>1.5638368573335268E-2</v>
      </c>
      <c r="N17">
        <v>3.407259E-2</v>
      </c>
      <c r="O17" s="8">
        <f t="shared" si="7"/>
        <v>4.5840380955763926E-4</v>
      </c>
      <c r="P17" s="8">
        <f t="shared" si="8"/>
        <v>4.4468692724053405E-4</v>
      </c>
      <c r="Q17" s="8">
        <f t="shared" si="2"/>
        <v>-9.6928307994034061E-25</v>
      </c>
      <c r="R17" s="8">
        <f t="shared" si="3"/>
        <v>-9.4027908463686967E-25</v>
      </c>
      <c r="S17" s="8"/>
      <c r="T17" s="8"/>
      <c r="W17" s="6"/>
      <c r="Y17" s="11"/>
      <c r="Z17" s="8"/>
    </row>
    <row r="18" spans="1:26" x14ac:dyDescent="0.2">
      <c r="A18" s="4"/>
      <c r="B18" s="13">
        <v>-1.6193</v>
      </c>
      <c r="C18" s="13">
        <v>-1.5611999999999999</v>
      </c>
      <c r="D18" s="13"/>
      <c r="E18" s="13">
        <v>1.6068</v>
      </c>
      <c r="F18" s="13">
        <v>1.6667000000000001</v>
      </c>
      <c r="H18">
        <f t="shared" si="9"/>
        <v>1.643</v>
      </c>
      <c r="I18">
        <f t="shared" si="4"/>
        <v>1.5840000000000001</v>
      </c>
      <c r="J18">
        <f t="shared" si="5"/>
        <v>2.8675759610266836E-2</v>
      </c>
      <c r="K18">
        <f t="shared" si="6"/>
        <v>2.764601535159018E-2</v>
      </c>
      <c r="L18" s="6">
        <f t="shared" si="0"/>
        <v>1.9679945514295447E-2</v>
      </c>
      <c r="M18" s="6">
        <f t="shared" si="1"/>
        <v>1.8973337265907515E-2</v>
      </c>
      <c r="N18">
        <v>4.0999618000000002E-2</v>
      </c>
      <c r="O18" s="8">
        <f t="shared" si="7"/>
        <v>6.6093367166253358E-4</v>
      </c>
      <c r="P18" s="8">
        <f t="shared" si="8"/>
        <v>6.4726667257319903E-4</v>
      </c>
      <c r="Q18" s="8">
        <f t="shared" si="2"/>
        <v>-1.3975272708216573E-24</v>
      </c>
      <c r="R18" s="8">
        <f t="shared" si="3"/>
        <v>-1.368628752321919E-24</v>
      </c>
      <c r="S18" s="8"/>
      <c r="T18" s="8"/>
      <c r="W18" s="6"/>
      <c r="Y18" s="11"/>
      <c r="Z18" s="8"/>
    </row>
    <row r="19" spans="1:26" x14ac:dyDescent="0.2">
      <c r="A19" s="4"/>
      <c r="B19" s="13">
        <v>-1.8492</v>
      </c>
      <c r="C19" s="13">
        <v>-1.7994000000000001</v>
      </c>
      <c r="D19" s="13"/>
      <c r="E19" s="13">
        <v>1.8304</v>
      </c>
      <c r="F19" s="13">
        <v>1.8956</v>
      </c>
      <c r="H19">
        <f t="shared" si="9"/>
        <v>1.8723999999999998</v>
      </c>
      <c r="I19">
        <f t="shared" si="4"/>
        <v>1.8149000000000002</v>
      </c>
      <c r="J19">
        <f t="shared" si="5"/>
        <v>3.2679544914341822E-2</v>
      </c>
      <c r="K19">
        <f t="shared" si="6"/>
        <v>3.167598059444509E-2</v>
      </c>
      <c r="L19" s="6">
        <f t="shared" si="0"/>
        <v>2.2427225618151591E-2</v>
      </c>
      <c r="M19" s="6">
        <f t="shared" si="1"/>
        <v>2.1738626158374644E-2</v>
      </c>
      <c r="N19">
        <v>4.6917538000000002E-2</v>
      </c>
      <c r="O19" s="8">
        <f t="shared" si="7"/>
        <v>8.6510315700016882E-4</v>
      </c>
      <c r="P19" s="8">
        <f t="shared" si="8"/>
        <v>8.4988135187202829E-4</v>
      </c>
      <c r="Q19" s="8">
        <f t="shared" si="2"/>
        <v>-1.8292384029103487E-24</v>
      </c>
      <c r="R19" s="8">
        <f t="shared" si="3"/>
        <v>-1.797052286981047E-24</v>
      </c>
      <c r="S19" s="8"/>
      <c r="T19" s="8"/>
      <c r="W19" s="6"/>
      <c r="Y19" s="11"/>
      <c r="Z19" s="8"/>
    </row>
    <row r="20" spans="1:26" x14ac:dyDescent="0.2">
      <c r="A20" s="4"/>
      <c r="B20" s="13">
        <v>-2.0558999999999998</v>
      </c>
      <c r="C20" s="13">
        <v>-2.0076000000000001</v>
      </c>
      <c r="D20" s="13"/>
      <c r="E20" s="13">
        <v>2.0499999999999998</v>
      </c>
      <c r="F20" s="13">
        <v>2.0988000000000002</v>
      </c>
      <c r="H20">
        <f t="shared" si="9"/>
        <v>2.07735</v>
      </c>
      <c r="I20">
        <f t="shared" si="4"/>
        <v>2.0287999999999999</v>
      </c>
      <c r="J20">
        <f t="shared" si="5"/>
        <v>3.6256597216304205E-2</v>
      </c>
      <c r="K20">
        <f t="shared" si="6"/>
        <v>3.5409239864460956E-2</v>
      </c>
      <c r="L20" s="6">
        <f t="shared" si="0"/>
        <v>2.4881533799943657E-2</v>
      </c>
      <c r="M20" s="6">
        <f t="shared" si="1"/>
        <v>2.4300154598381231E-2</v>
      </c>
      <c r="N20">
        <v>5.2177225000000001E-2</v>
      </c>
      <c r="O20" s="8">
        <f t="shared" si="7"/>
        <v>1.0671406746871615E-3</v>
      </c>
      <c r="P20" s="8">
        <f t="shared" si="8"/>
        <v>1.0528260292366198E-3</v>
      </c>
      <c r="Q20" s="8">
        <f t="shared" si="2"/>
        <v>-2.25644154416724E-24</v>
      </c>
      <c r="R20" s="8">
        <f t="shared" si="3"/>
        <v>-2.2261735940733166E-24</v>
      </c>
      <c r="S20" s="8"/>
      <c r="T20" s="8"/>
      <c r="W20" s="6"/>
      <c r="Y20" s="11"/>
      <c r="Z20" s="8"/>
    </row>
    <row r="21" spans="1:26" x14ac:dyDescent="0.2">
      <c r="A21" s="4"/>
      <c r="B21" s="13">
        <v>-2.2395</v>
      </c>
      <c r="C21" s="13">
        <v>-2.198</v>
      </c>
      <c r="D21" s="13"/>
      <c r="E21" s="13">
        <v>2.2416</v>
      </c>
      <c r="F21" s="13">
        <v>2.2825000000000002</v>
      </c>
      <c r="H21">
        <f t="shared" si="9"/>
        <v>2.2610000000000001</v>
      </c>
      <c r="I21">
        <f t="shared" si="4"/>
        <v>2.2198000000000002</v>
      </c>
      <c r="J21">
        <f t="shared" si="5"/>
        <v>3.9461894387591796E-2</v>
      </c>
      <c r="K21">
        <f t="shared" si="6"/>
        <v>3.8742818735770131E-2</v>
      </c>
      <c r="L21" s="6">
        <f t="shared" si="0"/>
        <v>2.7080628481274037E-2</v>
      </c>
      <c r="M21" s="6">
        <f t="shared" si="1"/>
        <v>2.6587296462408837E-2</v>
      </c>
      <c r="N21">
        <v>5.6931192999999998E-2</v>
      </c>
      <c r="O21" s="8">
        <f t="shared" si="7"/>
        <v>1.2687769549049044E-3</v>
      </c>
      <c r="P21" s="8">
        <f t="shared" si="8"/>
        <v>1.255519011042594E-3</v>
      </c>
      <c r="Q21" s="8">
        <f t="shared" si="2"/>
        <v>-2.6827962791022966E-24</v>
      </c>
      <c r="R21" s="8">
        <f t="shared" si="3"/>
        <v>-2.6547626973723862E-24</v>
      </c>
      <c r="S21" s="8"/>
      <c r="T21" s="8"/>
      <c r="W21" s="6"/>
      <c r="Y21" s="11"/>
      <c r="Z21" s="8"/>
    </row>
    <row r="22" spans="1:26" x14ac:dyDescent="0.2">
      <c r="A22" s="4"/>
      <c r="B22" s="13">
        <f>-2.4098</f>
        <v>-2.4098000000000002</v>
      </c>
      <c r="C22" s="13">
        <v>-2.3715000000000002</v>
      </c>
      <c r="D22" s="13"/>
      <c r="E22" s="13">
        <v>2.4135</v>
      </c>
      <c r="F22" s="13">
        <v>2.4529999999999998</v>
      </c>
      <c r="H22">
        <f>(ABS(B22)+F22)/2</f>
        <v>2.4314</v>
      </c>
      <c r="I22">
        <f>(ABS(C22)+E22)/2</f>
        <v>2.3925000000000001</v>
      </c>
      <c r="J22">
        <f>RADIANS(H22)</f>
        <v>4.2435935432990131E-2</v>
      </c>
      <c r="K22">
        <f>RADIANS(I22)</f>
        <v>4.1757002353964338E-2</v>
      </c>
      <c r="L22" s="6">
        <f t="shared" si="0"/>
        <v>2.9120931151710341E-2</v>
      </c>
      <c r="M22" s="6">
        <f t="shared" si="1"/>
        <v>2.8655169499753129E-2</v>
      </c>
      <c r="N22">
        <v>6.1320565E-2</v>
      </c>
      <c r="O22" s="8">
        <f>COS(M22)/COS(N22)-1</f>
        <v>1.4717516916757933E-3</v>
      </c>
      <c r="P22" s="8">
        <f>COS(L22)/COS(N22)-1</f>
        <v>1.4582732841870172E-3</v>
      </c>
      <c r="Q22" s="8">
        <f t="shared" si="2"/>
        <v>-3.1119811460370231E-24</v>
      </c>
      <c r="R22" s="8">
        <f t="shared" si="3"/>
        <v>-3.0834813996321686E-24</v>
      </c>
      <c r="W22" s="6"/>
      <c r="Y22" s="11"/>
      <c r="Z22" s="8"/>
    </row>
    <row r="23" spans="1:26" x14ac:dyDescent="0.2">
      <c r="B23" s="13">
        <v>-2.5657000000000001</v>
      </c>
      <c r="C23" s="13">
        <v>-2.5339999999999998</v>
      </c>
      <c r="E23" s="13">
        <v>2.5709</v>
      </c>
      <c r="F23" s="13">
        <v>2.6122000000000001</v>
      </c>
      <c r="H23">
        <f>(ABS(B23)+F23)/2</f>
        <v>2.5889500000000001</v>
      </c>
      <c r="I23">
        <f t="shared" ref="I23" si="10">(ABS(C23)+E23)/2</f>
        <v>2.5524499999999999</v>
      </c>
      <c r="J23">
        <f t="shared" ref="J23" si="11">RADIANS(H23)</f>
        <v>4.5185701669507194E-2</v>
      </c>
      <c r="K23">
        <f t="shared" ref="K23" si="12">RADIANS(I23)</f>
        <v>4.4548656492529259E-2</v>
      </c>
      <c r="L23" s="6">
        <f t="shared" si="0"/>
        <v>3.1007251830593191E-2</v>
      </c>
      <c r="M23" s="6">
        <f t="shared" si="1"/>
        <v>3.057025400594689E-2</v>
      </c>
      <c r="N23">
        <v>6.5403790000000003E-2</v>
      </c>
      <c r="O23" s="8">
        <f t="shared" ref="O23" si="13">COS(M23)/COS(N23)-1</f>
        <v>1.674411727256242E-3</v>
      </c>
      <c r="P23" s="8">
        <f t="shared" ref="P23" si="14">COS(L23)/COS(N23)-1</f>
        <v>1.6609304109871381E-3</v>
      </c>
      <c r="Q23" s="8">
        <f t="shared" si="2"/>
        <v>-3.5405005853885339E-24</v>
      </c>
      <c r="R23" s="8">
        <f t="shared" si="3"/>
        <v>-3.5119946884423964E-24</v>
      </c>
      <c r="W23" s="6"/>
      <c r="Y23" s="11"/>
      <c r="Z23" s="8"/>
    </row>
    <row r="24" spans="1:26" x14ac:dyDescent="0.2">
      <c r="B24" s="13">
        <v>-2.7172999999999998</v>
      </c>
      <c r="C24" s="13">
        <v>-2.6865000000000001</v>
      </c>
      <c r="E24" s="13">
        <v>2.7279</v>
      </c>
      <c r="F24" s="13">
        <v>2.7587999999999999</v>
      </c>
      <c r="H24">
        <f>(ABS(B24)+F24)/2</f>
        <v>2.7380499999999999</v>
      </c>
      <c r="I24">
        <f t="shared" ref="I24" si="15">(ABS(C24)+E24)/2</f>
        <v>2.7072000000000003</v>
      </c>
      <c r="J24">
        <f t="shared" ref="J24" si="16">RADIANS(H24)</f>
        <v>4.7787987584230737E-2</v>
      </c>
      <c r="K24">
        <f t="shared" ref="K24" si="17">RADIANS(I24)</f>
        <v>4.7249553509990494E-2</v>
      </c>
      <c r="L24" s="6">
        <f t="shared" si="0"/>
        <v>3.2792287791751182E-2</v>
      </c>
      <c r="M24" s="6">
        <f t="shared" si="1"/>
        <v>3.2422958804373375E-2</v>
      </c>
      <c r="N24">
        <v>6.9252070999999998E-2</v>
      </c>
      <c r="O24" s="8">
        <f t="shared" ref="O24" si="18">COS(M24)/COS(N24)-1</f>
        <v>1.875884831052721E-3</v>
      </c>
      <c r="P24" s="8">
        <f t="shared" ref="P24" si="19">COS(L24)/COS(N24)-1</f>
        <v>1.8638150938823372E-3</v>
      </c>
      <c r="Q24" s="8">
        <f t="shared" si="2"/>
        <v>-3.9665102879724654E-24</v>
      </c>
      <c r="R24" s="8">
        <f t="shared" si="3"/>
        <v>-3.9409891387702596E-24</v>
      </c>
    </row>
    <row r="25" spans="1:26" x14ac:dyDescent="0.2">
      <c r="W25" s="4"/>
    </row>
    <row r="26" spans="1:26" x14ac:dyDescent="0.2">
      <c r="A26" t="s">
        <v>19</v>
      </c>
      <c r="B26" s="2">
        <v>0.253</v>
      </c>
      <c r="W26" s="4"/>
    </row>
    <row r="27" spans="1:26" x14ac:dyDescent="0.2">
      <c r="A27" t="s">
        <v>18</v>
      </c>
      <c r="B27">
        <f>($B$5/(4*PI()))*($B$3/$B$4)*B26</f>
        <v>2.3463245657696542E-21</v>
      </c>
    </row>
    <row r="28" spans="1:26" x14ac:dyDescent="0.2">
      <c r="A28" t="s">
        <v>23</v>
      </c>
      <c r="B28">
        <f>$B$2*B26</f>
        <v>2.3463245284820001E-24</v>
      </c>
    </row>
    <row r="29" spans="1:26" x14ac:dyDescent="0.2">
      <c r="A29" s="4" t="s">
        <v>37</v>
      </c>
      <c r="B29" s="4" t="s">
        <v>7</v>
      </c>
      <c r="C29" s="4" t="s">
        <v>8</v>
      </c>
      <c r="D29" s="4"/>
      <c r="E29" s="4" t="s">
        <v>9</v>
      </c>
      <c r="F29" s="4" t="s">
        <v>10</v>
      </c>
      <c r="H29" t="s">
        <v>57</v>
      </c>
      <c r="I29" t="s">
        <v>58</v>
      </c>
      <c r="J29" t="s">
        <v>40</v>
      </c>
      <c r="K29" t="s">
        <v>41</v>
      </c>
      <c r="L29" t="s">
        <v>42</v>
      </c>
      <c r="M29" t="s">
        <v>43</v>
      </c>
      <c r="N29" t="s">
        <v>16</v>
      </c>
      <c r="O29" t="s">
        <v>44</v>
      </c>
      <c r="P29" t="s">
        <v>45</v>
      </c>
      <c r="Q29" t="s">
        <v>46</v>
      </c>
      <c r="R29" t="s">
        <v>47</v>
      </c>
      <c r="S29" t="s">
        <v>48</v>
      </c>
      <c r="T29" t="s">
        <v>49</v>
      </c>
      <c r="U29" s="9" t="s">
        <v>50</v>
      </c>
      <c r="V29" s="9" t="s">
        <v>51</v>
      </c>
    </row>
    <row r="30" spans="1:26" x14ac:dyDescent="0.2">
      <c r="A30" s="4"/>
      <c r="B30" s="13">
        <v>-0.51290000000000002</v>
      </c>
      <c r="C30" s="13">
        <v>-0.2407</v>
      </c>
      <c r="D30" s="13"/>
      <c r="E30" s="13">
        <v>0.2873</v>
      </c>
      <c r="F30" s="13">
        <v>0.5605</v>
      </c>
      <c r="H30">
        <f>(ABS(B30)+F30)/2</f>
        <v>0.53669999999999995</v>
      </c>
      <c r="I30">
        <f>(ABS(C30)+E30)/2</f>
        <v>0.26400000000000001</v>
      </c>
      <c r="J30">
        <f>RADIANS(H30)</f>
        <v>9.3671820954535651E-3</v>
      </c>
      <c r="K30">
        <f>RADIANS(I30)</f>
        <v>4.6076692252650306E-3</v>
      </c>
      <c r="L30" s="6">
        <f t="shared" ref="L30:L39" si="20">ASIN(($D$7/$D$6)*SIN(J30))</f>
        <v>6.4290388729126499E-3</v>
      </c>
      <c r="M30" s="6">
        <f t="shared" ref="M30:M39" si="21">ASIN(($D$7/$D$6)*SIN(K30))</f>
        <v>3.1624300628075711E-3</v>
      </c>
      <c r="N30" s="4">
        <v>1.0758037E-2</v>
      </c>
      <c r="O30" s="8">
        <f>COS(M30)/COS(N30)-1</f>
        <v>5.2869703571323257E-5</v>
      </c>
      <c r="P30" s="8">
        <f>COS(L30)/COS(N30)-1</f>
        <v>3.7203075540004349E-5</v>
      </c>
      <c r="Q30" s="8">
        <f t="shared" ref="Q30:Q39" si="22">-O30*B$27</f>
        <v>-1.2404948427435538E-25</v>
      </c>
      <c r="R30" s="8">
        <f t="shared" ref="R30:R39" si="23">-P30*B$27</f>
        <v>-8.7290490061696343E-26</v>
      </c>
      <c r="S30" s="8">
        <f>AVERAGE(Q30:Q39)</f>
        <v>-2.2659973954360747E-24</v>
      </c>
      <c r="T30" s="8">
        <f>AVERAGE(R30:R39)</f>
        <v>-2.2262618624487015E-24</v>
      </c>
      <c r="U30" s="9">
        <f>ABS(ABS(S30)-B28)/B28</f>
        <v>3.4235303799979695E-2</v>
      </c>
      <c r="V30" s="9">
        <f>ABS(ABS(T30)-B28)/B28</f>
        <v>5.1170528448157782E-2</v>
      </c>
    </row>
    <row r="31" spans="1:26" x14ac:dyDescent="0.2">
      <c r="A31" s="4"/>
      <c r="B31" s="13">
        <v>-1.0251999999999999</v>
      </c>
      <c r="C31" s="13">
        <v>-0.91649999999999998</v>
      </c>
      <c r="D31" s="13"/>
      <c r="E31" s="13">
        <v>0.96140000000000003</v>
      </c>
      <c r="F31" s="13">
        <v>1.0716000000000001</v>
      </c>
      <c r="H31">
        <f>(ABS(B31)+F31)/2</f>
        <v>1.0484</v>
      </c>
      <c r="I31">
        <f t="shared" ref="I31:I36" si="24">(ABS(C31)+E31)/2</f>
        <v>0.93894999999999995</v>
      </c>
      <c r="J31">
        <f t="shared" ref="J31:J36" si="25">RADIANS(H31)</f>
        <v>1.8298031877908551E-2</v>
      </c>
      <c r="K31">
        <f t="shared" ref="K31:K36" si="26">RADIANS(I31)</f>
        <v>1.6387769011600755E-2</v>
      </c>
      <c r="L31" s="6">
        <f t="shared" si="20"/>
        <v>1.2558333398144664E-2</v>
      </c>
      <c r="M31" s="6">
        <f t="shared" si="21"/>
        <v>1.1247344552973011E-2</v>
      </c>
      <c r="N31" s="4">
        <v>2.5301185E-2</v>
      </c>
      <c r="O31" s="8">
        <f t="shared" ref="O31:O36" si="27">COS(M31)/COS(N31)-1</f>
        <v>2.5688941342871807E-4</v>
      </c>
      <c r="P31" s="8">
        <f t="shared" ref="P31:P36" si="28">COS(L31)/COS(N31)-1</f>
        <v>2.4128029806780305E-4</v>
      </c>
      <c r="Q31" s="8">
        <f t="shared" si="22"/>
        <v>-6.027459414139581E-25</v>
      </c>
      <c r="R31" s="8">
        <f t="shared" si="23"/>
        <v>-5.6612189059271068E-25</v>
      </c>
      <c r="S31" s="8"/>
      <c r="T31" s="8"/>
    </row>
    <row r="32" spans="1:26" x14ac:dyDescent="0.2">
      <c r="A32" s="4"/>
      <c r="B32" s="13">
        <v>-1.357</v>
      </c>
      <c r="C32" s="13">
        <v>-1.2773000000000001</v>
      </c>
      <c r="D32" s="13"/>
      <c r="E32" s="13">
        <v>1.3239000000000001</v>
      </c>
      <c r="F32" s="13">
        <v>1.405</v>
      </c>
      <c r="H32">
        <f t="shared" ref="H32:H36" si="29">(ABS(B32)+F32)/2</f>
        <v>1.381</v>
      </c>
      <c r="I32">
        <f t="shared" si="24"/>
        <v>1.3006000000000002</v>
      </c>
      <c r="J32">
        <f t="shared" si="25"/>
        <v>2.4102996970041691E-2</v>
      </c>
      <c r="K32">
        <f t="shared" si="26"/>
        <v>2.2699752251438252E-2</v>
      </c>
      <c r="L32" s="6">
        <f t="shared" si="20"/>
        <v>1.6542046966704218E-2</v>
      </c>
      <c r="M32" s="6">
        <f t="shared" si="21"/>
        <v>1.55790810110913E-2</v>
      </c>
      <c r="N32" s="4">
        <v>3.407259E-2</v>
      </c>
      <c r="O32" s="8">
        <f t="shared" si="27"/>
        <v>4.5932971263207278E-4</v>
      </c>
      <c r="P32" s="8">
        <f t="shared" si="28"/>
        <v>4.4385562036164394E-4</v>
      </c>
      <c r="Q32" s="8">
        <f t="shared" si="22"/>
        <v>-1.0777365885365482E-24</v>
      </c>
      <c r="R32" s="8">
        <f t="shared" si="23"/>
        <v>-1.0414293457094548E-24</v>
      </c>
      <c r="S32" s="8"/>
      <c r="T32" s="8"/>
    </row>
    <row r="33" spans="1:22" x14ac:dyDescent="0.2">
      <c r="A33" s="4"/>
      <c r="B33" s="13">
        <v>-1.6237999999999999</v>
      </c>
      <c r="C33" s="13">
        <v>-1.5564</v>
      </c>
      <c r="D33" s="13"/>
      <c r="E33" s="13">
        <v>1.6040000000000001</v>
      </c>
      <c r="F33" s="13">
        <v>1.6695</v>
      </c>
      <c r="H33">
        <f t="shared" si="29"/>
        <v>1.6466499999999999</v>
      </c>
      <c r="I33">
        <f t="shared" si="24"/>
        <v>1.5802</v>
      </c>
      <c r="J33">
        <f t="shared" si="25"/>
        <v>2.8739464127964628E-2</v>
      </c>
      <c r="K33">
        <f t="shared" si="26"/>
        <v>2.7579692840014398E-2</v>
      </c>
      <c r="L33" s="6">
        <f t="shared" si="20"/>
        <v>1.9723659055749704E-2</v>
      </c>
      <c r="M33" s="6">
        <f t="shared" si="21"/>
        <v>1.8927826534963322E-2</v>
      </c>
      <c r="N33" s="4">
        <v>4.0999618000000002E-2</v>
      </c>
      <c r="O33" s="8">
        <f t="shared" si="27"/>
        <v>6.6179680022049325E-4</v>
      </c>
      <c r="P33" s="8">
        <f t="shared" si="28"/>
        <v>6.4640476842225958E-4</v>
      </c>
      <c r="Q33" s="8">
        <f t="shared" si="22"/>
        <v>-1.5527900899050954E-24</v>
      </c>
      <c r="R33" s="8">
        <f t="shared" si="23"/>
        <v>-1.5166753875797921E-24</v>
      </c>
      <c r="S33" s="8"/>
      <c r="T33" s="8"/>
    </row>
    <row r="34" spans="1:22" x14ac:dyDescent="0.2">
      <c r="A34" s="4"/>
      <c r="B34" s="13">
        <f>-1.8519</f>
        <v>-1.8519000000000001</v>
      </c>
      <c r="C34" s="13">
        <v>-1.7943</v>
      </c>
      <c r="D34" s="13"/>
      <c r="E34" s="13">
        <v>1.8411999999999999</v>
      </c>
      <c r="F34" s="13">
        <v>1.8974</v>
      </c>
      <c r="H34">
        <f t="shared" si="29"/>
        <v>1.8746499999999999</v>
      </c>
      <c r="I34">
        <f t="shared" si="24"/>
        <v>1.81775</v>
      </c>
      <c r="J34">
        <f t="shared" si="25"/>
        <v>3.2718814822511696E-2</v>
      </c>
      <c r="K34">
        <f t="shared" si="26"/>
        <v>3.1725722478126925E-2</v>
      </c>
      <c r="L34" s="6">
        <f t="shared" si="20"/>
        <v>2.2454170573736706E-2</v>
      </c>
      <c r="M34" s="6">
        <f t="shared" si="21"/>
        <v>2.1772757016263068E-2</v>
      </c>
      <c r="N34" s="4">
        <v>4.6917538000000002E-2</v>
      </c>
      <c r="O34" s="8">
        <f t="shared" si="27"/>
        <v>8.6435985721022845E-4</v>
      </c>
      <c r="P34" s="8">
        <f t="shared" si="28"/>
        <v>8.4927607294260632E-4</v>
      </c>
      <c r="Q34" s="8">
        <f t="shared" si="22"/>
        <v>-2.0280687666375095E-24</v>
      </c>
      <c r="R34" s="8">
        <f t="shared" si="23"/>
        <v>-1.992677313065618E-24</v>
      </c>
      <c r="S34" s="8"/>
      <c r="T34" s="8"/>
    </row>
    <row r="35" spans="1:22" x14ac:dyDescent="0.2">
      <c r="A35" s="4"/>
      <c r="B35" s="13">
        <v>-2.0547</v>
      </c>
      <c r="C35" s="13">
        <v>-2.0051000000000001</v>
      </c>
      <c r="D35" s="13"/>
      <c r="E35" s="13">
        <v>2.0419999999999998</v>
      </c>
      <c r="F35" s="13">
        <v>2.1006999999999998</v>
      </c>
      <c r="H35">
        <f t="shared" si="29"/>
        <v>2.0777000000000001</v>
      </c>
      <c r="I35">
        <f t="shared" si="24"/>
        <v>2.0235500000000002</v>
      </c>
      <c r="J35">
        <f t="shared" si="25"/>
        <v>3.6262705868686185E-2</v>
      </c>
      <c r="K35">
        <f t="shared" si="26"/>
        <v>3.5317610078731257E-2</v>
      </c>
      <c r="L35" s="6">
        <f t="shared" si="20"/>
        <v>2.4885724965061754E-2</v>
      </c>
      <c r="M35" s="6">
        <f t="shared" si="21"/>
        <v>2.4237286053253357E-2</v>
      </c>
      <c r="N35" s="4">
        <v>5.2177225000000001E-2</v>
      </c>
      <c r="O35" s="8">
        <f t="shared" si="27"/>
        <v>1.0686683430995991E-3</v>
      </c>
      <c r="P35" s="8">
        <f t="shared" si="28"/>
        <v>1.0527216064881717E-3</v>
      </c>
      <c r="Q35" s="8">
        <f t="shared" si="22"/>
        <v>-2.5074427860749427E-24</v>
      </c>
      <c r="R35" s="8">
        <f t="shared" si="23"/>
        <v>-2.4700265662196922E-24</v>
      </c>
      <c r="S35" s="8"/>
      <c r="T35" s="8"/>
    </row>
    <row r="36" spans="1:22" x14ac:dyDescent="0.2">
      <c r="A36" s="4"/>
      <c r="B36" s="13">
        <v>-2.2397999999999998</v>
      </c>
      <c r="C36" s="13">
        <v>-2.1943000000000001</v>
      </c>
      <c r="D36" s="13"/>
      <c r="E36" s="13">
        <v>2.2389000000000001</v>
      </c>
      <c r="F36" s="13">
        <v>2.2885</v>
      </c>
      <c r="H36">
        <f t="shared" si="29"/>
        <v>2.2641499999999999</v>
      </c>
      <c r="I36">
        <f t="shared" si="24"/>
        <v>2.2166000000000001</v>
      </c>
      <c r="J36">
        <f t="shared" si="25"/>
        <v>3.9516872259029612E-2</v>
      </c>
      <c r="K36">
        <f t="shared" si="26"/>
        <v>3.8686968199706309E-2</v>
      </c>
      <c r="L36" s="6">
        <f t="shared" si="20"/>
        <v>2.7118346524010187E-2</v>
      </c>
      <c r="M36" s="6">
        <f t="shared" si="21"/>
        <v>2.6548979106049322E-2</v>
      </c>
      <c r="N36" s="4">
        <v>5.6931192999999998E-2</v>
      </c>
      <c r="O36" s="8">
        <f t="shared" si="27"/>
        <v>1.2697965077690387E-3</v>
      </c>
      <c r="P36" s="8">
        <f t="shared" si="28"/>
        <v>1.2544953380209112E-3</v>
      </c>
      <c r="Q36" s="8">
        <f t="shared" si="22"/>
        <v>-2.9793547397070133E-24</v>
      </c>
      <c r="R36" s="8">
        <f t="shared" si="23"/>
        <v>-2.9434532292419701E-24</v>
      </c>
      <c r="S36" s="8"/>
      <c r="T36" s="8"/>
    </row>
    <row r="37" spans="1:22" x14ac:dyDescent="0.2">
      <c r="A37" s="4"/>
      <c r="B37" s="13">
        <v>-2.4114</v>
      </c>
      <c r="C37" s="13">
        <v>-2.3689</v>
      </c>
      <c r="D37" s="13"/>
      <c r="E37" s="13">
        <v>2.411</v>
      </c>
      <c r="F37" s="13">
        <v>2.5529999999999999</v>
      </c>
      <c r="H37">
        <f>(ABS(B37)+F37)/2</f>
        <v>2.4821999999999997</v>
      </c>
      <c r="I37">
        <f>(ABS(C37)+E37)/2</f>
        <v>2.3899499999999998</v>
      </c>
      <c r="J37">
        <f>RADIANS(H37)</f>
        <v>4.332256269300324E-2</v>
      </c>
      <c r="K37">
        <f>RADIANS(I37)</f>
        <v>4.1712496458038477E-2</v>
      </c>
      <c r="L37" s="6">
        <f t="shared" si="20"/>
        <v>2.9729164440066198E-2</v>
      </c>
      <c r="M37" s="6">
        <f t="shared" si="21"/>
        <v>2.8624637320760555E-2</v>
      </c>
      <c r="N37" s="4">
        <v>6.1320565E-2</v>
      </c>
      <c r="O37" s="8">
        <f>COS(M37)/COS(N37)-1</f>
        <v>1.4726276571876973E-3</v>
      </c>
      <c r="P37" s="8">
        <f>COS(L37)/COS(N37)-1</f>
        <v>1.440344876706634E-3</v>
      </c>
      <c r="Q37" s="8">
        <f t="shared" si="22"/>
        <v>-3.4552624482913072E-24</v>
      </c>
      <c r="R37" s="8">
        <f t="shared" si="23"/>
        <v>-3.379516567397239E-24</v>
      </c>
    </row>
    <row r="38" spans="1:22" x14ac:dyDescent="0.2">
      <c r="B38" s="13">
        <v>-2.5701999999999998</v>
      </c>
      <c r="C38" s="13">
        <v>-2.5318000000000001</v>
      </c>
      <c r="E38" s="13">
        <v>2.5750000000000002</v>
      </c>
      <c r="F38" s="13">
        <v>2.6126999999999998</v>
      </c>
      <c r="H38">
        <f>(ABS(B38)+F38)/2</f>
        <v>2.59145</v>
      </c>
      <c r="I38">
        <f t="shared" ref="I38" si="30">(ABS(C38)+E38)/2</f>
        <v>2.5533999999999999</v>
      </c>
      <c r="J38">
        <f t="shared" ref="J38" si="31">RADIANS(H38)</f>
        <v>4.5229334900807057E-2</v>
      </c>
      <c r="K38">
        <f t="shared" ref="K38" si="32">RADIANS(I38)</f>
        <v>4.4565237120423207E-2</v>
      </c>
      <c r="L38" s="6">
        <f t="shared" si="20"/>
        <v>3.1037182945649288E-2</v>
      </c>
      <c r="M38" s="6">
        <f t="shared" si="21"/>
        <v>3.0581628005617055E-2</v>
      </c>
      <c r="N38" s="4">
        <v>6.5403790000000003E-2</v>
      </c>
      <c r="O38" s="8">
        <f t="shared" ref="O38" si="33">COS(M38)/COS(N38)-1</f>
        <v>1.6740632656648824E-3</v>
      </c>
      <c r="P38" s="8">
        <f t="shared" ref="P38" si="34">COS(L38)/COS(N38)-1</f>
        <v>1.6600000411630678E-3</v>
      </c>
      <c r="Q38" s="8">
        <f t="shared" si="22"/>
        <v>-3.9278957648820846E-24</v>
      </c>
      <c r="R38" s="8">
        <f t="shared" si="23"/>
        <v>-3.8948988757595429E-24</v>
      </c>
    </row>
    <row r="39" spans="1:22" x14ac:dyDescent="0.2">
      <c r="B39" s="13">
        <v>-2.7198000000000002</v>
      </c>
      <c r="C39" s="13">
        <v>-2.6840999999999999</v>
      </c>
      <c r="E39" s="13">
        <v>2.7233000000000001</v>
      </c>
      <c r="F39" s="13">
        <v>2.7618999999999998</v>
      </c>
      <c r="H39">
        <f>(ABS(B39)+F39)/2</f>
        <v>2.74085</v>
      </c>
      <c r="I39">
        <f t="shared" ref="I39" si="35">(ABS(C39)+E39)/2</f>
        <v>2.7037</v>
      </c>
      <c r="J39">
        <f t="shared" ref="J39" si="36">RADIANS(H39)</f>
        <v>4.783685680328658E-2</v>
      </c>
      <c r="K39">
        <f t="shared" ref="K39" si="37">RADIANS(I39)</f>
        <v>4.7188466986170685E-2</v>
      </c>
      <c r="L39" s="6">
        <f t="shared" si="20"/>
        <v>3.282580848870735E-2</v>
      </c>
      <c r="M39" s="6">
        <f t="shared" si="21"/>
        <v>3.2381057307126621E-2</v>
      </c>
      <c r="N39" s="4">
        <v>6.9252070999999998E-2</v>
      </c>
      <c r="O39" s="8">
        <f t="shared" ref="O39" si="38">COS(M39)/COS(N39)-1</f>
        <v>1.8772455477373828E-3</v>
      </c>
      <c r="P39" s="8">
        <f t="shared" ref="P39" si="39">COS(L39)/COS(N39)-1</f>
        <v>1.8627128670178905E-3</v>
      </c>
      <c r="Q39" s="8">
        <f t="shared" si="22"/>
        <v>-4.4046273446379315E-24</v>
      </c>
      <c r="R39" s="8">
        <f t="shared" si="23"/>
        <v>-4.3705289588592993E-24</v>
      </c>
    </row>
    <row r="41" spans="1:22" x14ac:dyDescent="0.2">
      <c r="A41" t="s">
        <v>19</v>
      </c>
      <c r="B41" s="2">
        <v>0.26900000000000002</v>
      </c>
    </row>
    <row r="42" spans="1:22" x14ac:dyDescent="0.2">
      <c r="A42" t="s">
        <v>18</v>
      </c>
      <c r="B42">
        <f>($B$5/(4*PI()))*($B$3/$B$4)*B41</f>
        <v>2.4947087280317671E-21</v>
      </c>
    </row>
    <row r="43" spans="1:22" x14ac:dyDescent="0.2">
      <c r="A43" t="s">
        <v>23</v>
      </c>
      <c r="B43">
        <f>$B$2*B41</f>
        <v>2.4947086883860004E-24</v>
      </c>
    </row>
    <row r="44" spans="1:22" x14ac:dyDescent="0.2">
      <c r="A44" s="4" t="s">
        <v>38</v>
      </c>
      <c r="B44" s="4" t="s">
        <v>7</v>
      </c>
      <c r="C44" s="4" t="s">
        <v>8</v>
      </c>
      <c r="D44" s="4"/>
      <c r="E44" s="4" t="s">
        <v>9</v>
      </c>
      <c r="F44" s="4" t="s">
        <v>10</v>
      </c>
      <c r="H44" t="s">
        <v>57</v>
      </c>
      <c r="I44" t="s">
        <v>58</v>
      </c>
      <c r="J44" t="s">
        <v>40</v>
      </c>
      <c r="K44" t="s">
        <v>41</v>
      </c>
      <c r="L44" t="s">
        <v>42</v>
      </c>
      <c r="M44" t="s">
        <v>43</v>
      </c>
      <c r="N44" t="s">
        <v>16</v>
      </c>
      <c r="O44" t="s">
        <v>44</v>
      </c>
      <c r="P44" t="s">
        <v>45</v>
      </c>
      <c r="Q44" t="s">
        <v>46</v>
      </c>
      <c r="R44" t="s">
        <v>47</v>
      </c>
      <c r="S44" t="s">
        <v>48</v>
      </c>
      <c r="T44" t="s">
        <v>49</v>
      </c>
      <c r="U44" s="9" t="s">
        <v>50</v>
      </c>
      <c r="V44" s="9" t="s">
        <v>51</v>
      </c>
    </row>
    <row r="45" spans="1:22" x14ac:dyDescent="0.2">
      <c r="A45" s="4"/>
      <c r="B45" s="13">
        <v>-0.51980000000000004</v>
      </c>
      <c r="C45" s="13">
        <v>-0.21859999999999999</v>
      </c>
      <c r="D45" s="13"/>
      <c r="E45" s="13">
        <v>0.26119999999999999</v>
      </c>
      <c r="F45" s="13">
        <v>0.5675</v>
      </c>
      <c r="H45">
        <f>(ABS(B45)+F45)/2</f>
        <v>0.54364999999999997</v>
      </c>
      <c r="I45">
        <f>(ABS(C45)+E45)/2</f>
        <v>0.2399</v>
      </c>
      <c r="J45">
        <f>RADIANS(H45)</f>
        <v>9.4884824784671716E-3</v>
      </c>
      <c r="K45">
        <f>RADIANS(I45)</f>
        <v>4.1870448755343967E-3</v>
      </c>
      <c r="L45" s="6">
        <f t="shared" ref="L45:L54" si="40">ASIN(($D$7/$D$6)*SIN(J45))</f>
        <v>6.5122904388055609E-3</v>
      </c>
      <c r="M45" s="6">
        <f t="shared" ref="M45:M54" si="41">ASIN(($D$7/$D$6)*SIN(K45))</f>
        <v>2.8737394677278813E-3</v>
      </c>
      <c r="N45" s="4">
        <v>1.0758037E-2</v>
      </c>
      <c r="O45" s="8">
        <f>COS(M45)/COS(N45)-1</f>
        <v>5.3741045354716022E-5</v>
      </c>
      <c r="P45" s="8">
        <f>COS(L45)/COS(N45)-1</f>
        <v>3.6664355160143103E-5</v>
      </c>
      <c r="Q45" s="8">
        <f t="shared" ref="Q45:Q54" si="42">-O45*B$42</f>
        <v>-1.340682548999611E-25</v>
      </c>
      <c r="R45" s="8">
        <f t="shared" ref="R45:R54" si="43">-P45*B$42</f>
        <v>-9.1466886825665553E-26</v>
      </c>
      <c r="S45" s="8">
        <f>AVERAGE(Q46:Q54)</f>
        <v>-2.6635092960089257E-24</v>
      </c>
      <c r="T45" s="8">
        <f>AVERAGE(R45:R54)</f>
        <v>-2.3704690381285601E-24</v>
      </c>
      <c r="U45" s="9">
        <f>ABS(ABS(S45)-B43)/B43</f>
        <v>6.7663454418052341E-2</v>
      </c>
      <c r="V45" s="9">
        <f>ABS(ABS(T45)-B43)/B43</f>
        <v>4.9801265709231782E-2</v>
      </c>
    </row>
    <row r="46" spans="1:22" x14ac:dyDescent="0.2">
      <c r="A46" s="4"/>
      <c r="B46" s="13">
        <v>-1.0255000000000001</v>
      </c>
      <c r="C46" s="13">
        <v>-0.90939999999999999</v>
      </c>
      <c r="D46" s="13"/>
      <c r="E46" s="13">
        <v>0.95609999999999995</v>
      </c>
      <c r="F46" s="13">
        <v>1.0746</v>
      </c>
      <c r="H46">
        <f>(ABS(B46)+F46)/2</f>
        <v>1.0500500000000001</v>
      </c>
      <c r="I46">
        <f t="shared" ref="I46:I51" si="44">(ABS(C46)+E46)/2</f>
        <v>0.93274999999999997</v>
      </c>
      <c r="J46">
        <f t="shared" ref="J46:J51" si="45">RADIANS(H46)</f>
        <v>1.8326829810566461E-2</v>
      </c>
      <c r="K46">
        <f t="shared" ref="K46:K51" si="46">RADIANS(I46)</f>
        <v>1.6279558597977108E-2</v>
      </c>
      <c r="L46" s="6">
        <f t="shared" si="40"/>
        <v>1.2578096869935117E-2</v>
      </c>
      <c r="M46" s="6">
        <f t="shared" si="41"/>
        <v>1.1173080463711082E-2</v>
      </c>
      <c r="N46" s="4">
        <v>2.5301185E-2</v>
      </c>
      <c r="O46" s="8">
        <f t="shared" ref="O46:O51" si="47">COS(M46)/COS(N46)-1</f>
        <v>2.5772217874742154E-4</v>
      </c>
      <c r="P46" s="8">
        <f t="shared" ref="P46:P51" si="48">COS(L46)/COS(N46)-1</f>
        <v>2.4103183351864566E-4</v>
      </c>
      <c r="Q46" s="8">
        <f t="shared" si="42"/>
        <v>-6.4294176872855574E-25</v>
      </c>
      <c r="R46" s="8">
        <f t="shared" si="43"/>
        <v>-6.0130421881246514E-25</v>
      </c>
      <c r="S46" s="8"/>
      <c r="T46" s="8"/>
    </row>
    <row r="47" spans="1:22" x14ac:dyDescent="0.2">
      <c r="A47" s="4"/>
      <c r="B47" s="13">
        <v>-1.3592</v>
      </c>
      <c r="C47" s="13">
        <v>-1.2728999999999999</v>
      </c>
      <c r="D47" s="13"/>
      <c r="E47" s="13">
        <v>1.3191999999999999</v>
      </c>
      <c r="F47" s="13">
        <v>1.4052</v>
      </c>
      <c r="H47">
        <f t="shared" ref="H47:H51" si="49">(ABS(B47)+F47)/2</f>
        <v>1.3822000000000001</v>
      </c>
      <c r="I47">
        <f t="shared" si="44"/>
        <v>1.2960499999999999</v>
      </c>
      <c r="J47">
        <f t="shared" si="45"/>
        <v>2.4123940921065623E-2</v>
      </c>
      <c r="K47">
        <f t="shared" si="46"/>
        <v>2.2620339770472508E-2</v>
      </c>
      <c r="L47" s="6">
        <f t="shared" si="40"/>
        <v>1.6556419464863636E-2</v>
      </c>
      <c r="M47" s="6">
        <f t="shared" si="41"/>
        <v>1.5524584308694415E-2</v>
      </c>
      <c r="N47" s="4">
        <v>3.407259E-2</v>
      </c>
      <c r="O47" s="8">
        <f t="shared" si="47"/>
        <v>4.6017769424566701E-4</v>
      </c>
      <c r="P47" s="8">
        <f t="shared" si="48"/>
        <v>4.4361763926703546E-4</v>
      </c>
      <c r="Q47" s="8">
        <f t="shared" si="42"/>
        <v>-1.1480093102801994E-24</v>
      </c>
      <c r="R47" s="8">
        <f t="shared" si="43"/>
        <v>-1.1066967965883214E-24</v>
      </c>
      <c r="S47" s="8"/>
      <c r="T47" s="8"/>
    </row>
    <row r="48" spans="1:22" x14ac:dyDescent="0.2">
      <c r="A48" s="4"/>
      <c r="B48" s="13">
        <v>-1.6259999999999999</v>
      </c>
      <c r="C48" s="13">
        <v>-1.5537000000000001</v>
      </c>
      <c r="D48" s="13"/>
      <c r="E48" s="13">
        <v>1.5995999999999999</v>
      </c>
      <c r="F48" s="13">
        <v>1.6716</v>
      </c>
      <c r="H48">
        <f t="shared" si="49"/>
        <v>1.6488</v>
      </c>
      <c r="I48">
        <f t="shared" si="44"/>
        <v>1.5766499999999999</v>
      </c>
      <c r="J48">
        <f t="shared" si="45"/>
        <v>2.8776988706882507E-2</v>
      </c>
      <c r="K48">
        <f t="shared" si="46"/>
        <v>2.7517733651568593E-2</v>
      </c>
      <c r="L48" s="6">
        <f t="shared" si="40"/>
        <v>1.9749408108294522E-2</v>
      </c>
      <c r="M48" s="6">
        <f t="shared" si="41"/>
        <v>1.8885309891246604E-2</v>
      </c>
      <c r="N48" s="4">
        <v>4.0999618000000002E-2</v>
      </c>
      <c r="O48" s="8">
        <f t="shared" si="47"/>
        <v>6.626012722070751E-4</v>
      </c>
      <c r="P48" s="8">
        <f t="shared" si="48"/>
        <v>6.4589617697108359E-4</v>
      </c>
      <c r="Q48" s="8">
        <f t="shared" si="42"/>
        <v>-1.6529971769799431E-24</v>
      </c>
      <c r="R48" s="8">
        <f t="shared" si="43"/>
        <v>-1.611322830092113E-24</v>
      </c>
      <c r="S48" s="8"/>
      <c r="T48" s="8"/>
    </row>
    <row r="49" spans="1:22" x14ac:dyDescent="0.2">
      <c r="A49" s="4"/>
      <c r="B49" s="13">
        <v>-1.8533999999999999</v>
      </c>
      <c r="C49" s="13">
        <v>-1.7916000000000001</v>
      </c>
      <c r="D49" s="13"/>
      <c r="E49" s="13">
        <v>1.837</v>
      </c>
      <c r="F49" s="13">
        <v>1.9009</v>
      </c>
      <c r="H49">
        <f t="shared" si="49"/>
        <v>1.8771499999999999</v>
      </c>
      <c r="I49">
        <f t="shared" si="44"/>
        <v>1.8143</v>
      </c>
      <c r="J49">
        <f t="shared" si="45"/>
        <v>3.2762448053811552E-2</v>
      </c>
      <c r="K49">
        <f t="shared" si="46"/>
        <v>3.1665508618933122E-2</v>
      </c>
      <c r="L49" s="6">
        <f t="shared" si="40"/>
        <v>2.248410939177916E-2</v>
      </c>
      <c r="M49" s="6">
        <f t="shared" si="41"/>
        <v>2.1731440710979693E-2</v>
      </c>
      <c r="N49" s="4">
        <v>4.6917538000000002E-2</v>
      </c>
      <c r="O49" s="8">
        <f t="shared" si="47"/>
        <v>8.6525949267923785E-4</v>
      </c>
      <c r="P49" s="8">
        <f t="shared" si="48"/>
        <v>8.4860268904218827E-4</v>
      </c>
      <c r="Q49" s="8">
        <f t="shared" si="42"/>
        <v>-2.1585704083992336E-24</v>
      </c>
      <c r="R49" s="8">
        <f t="shared" si="43"/>
        <v>-2.1170165349847747E-24</v>
      </c>
      <c r="S49" s="8"/>
      <c r="T49" s="8"/>
    </row>
    <row r="50" spans="1:22" x14ac:dyDescent="0.2">
      <c r="A50" s="4"/>
      <c r="B50" s="13">
        <v>-2.0562999999999998</v>
      </c>
      <c r="C50" s="13">
        <v>-2.0002</v>
      </c>
      <c r="D50" s="13"/>
      <c r="E50" s="13">
        <v>2.0487000000000002</v>
      </c>
      <c r="F50" s="13">
        <v>2.1013999999999999</v>
      </c>
      <c r="H50">
        <f t="shared" si="49"/>
        <v>2.0788500000000001</v>
      </c>
      <c r="I50">
        <f t="shared" si="44"/>
        <v>2.0244499999999999</v>
      </c>
      <c r="J50">
        <f t="shared" si="45"/>
        <v>3.6282777155084121E-2</v>
      </c>
      <c r="K50">
        <f t="shared" si="46"/>
        <v>3.5333318041999205E-2</v>
      </c>
      <c r="L50" s="6">
        <f t="shared" si="40"/>
        <v>2.489949593270244E-2</v>
      </c>
      <c r="M50" s="6">
        <f t="shared" si="41"/>
        <v>2.4248063525790554E-2</v>
      </c>
      <c r="N50" s="4">
        <v>5.2177225000000001E-2</v>
      </c>
      <c r="O50" s="8">
        <f t="shared" si="47"/>
        <v>1.068406737904759E-3</v>
      </c>
      <c r="P50" s="8">
        <f t="shared" si="48"/>
        <v>1.0523783794504915E-3</v>
      </c>
      <c r="Q50" s="8">
        <f t="shared" si="42"/>
        <v>-2.6653636141389509E-24</v>
      </c>
      <c r="R50" s="8">
        <f t="shared" si="43"/>
        <v>-2.6253775284070681E-24</v>
      </c>
      <c r="S50" s="8"/>
      <c r="T50" s="8"/>
    </row>
    <row r="51" spans="1:22" x14ac:dyDescent="0.2">
      <c r="A51" s="4"/>
      <c r="B51" s="13">
        <v>-2.2414999999999998</v>
      </c>
      <c r="C51" s="13">
        <v>-2.1930000000000001</v>
      </c>
      <c r="D51" s="13"/>
      <c r="E51" s="13">
        <v>2.2366999999999999</v>
      </c>
      <c r="F51" s="13">
        <v>2.2848000000000002</v>
      </c>
      <c r="H51">
        <f t="shared" si="49"/>
        <v>2.26315</v>
      </c>
      <c r="I51">
        <f t="shared" si="44"/>
        <v>2.2148500000000002</v>
      </c>
      <c r="J51">
        <f t="shared" si="45"/>
        <v>3.9499418966509672E-2</v>
      </c>
      <c r="K51">
        <f t="shared" si="46"/>
        <v>3.8656424937796412E-2</v>
      </c>
      <c r="L51" s="6">
        <f t="shared" si="40"/>
        <v>2.7106372546888011E-2</v>
      </c>
      <c r="M51" s="6">
        <f t="shared" si="41"/>
        <v>2.6528024283241188E-2</v>
      </c>
      <c r="N51" s="4">
        <v>5.6931192999999998E-2</v>
      </c>
      <c r="O51" s="8">
        <f t="shared" si="47"/>
        <v>1.2703534544278305E-3</v>
      </c>
      <c r="P51" s="8">
        <f t="shared" si="48"/>
        <v>1.2548204677786945E-3</v>
      </c>
      <c r="Q51" s="8">
        <f t="shared" si="42"/>
        <v>-3.1691618504464145E-24</v>
      </c>
      <c r="R51" s="8">
        <f t="shared" si="43"/>
        <v>-3.130411573080414E-24</v>
      </c>
      <c r="S51" s="8"/>
      <c r="T51" s="8"/>
    </row>
    <row r="52" spans="1:22" x14ac:dyDescent="0.2">
      <c r="A52" s="4"/>
      <c r="B52" s="13">
        <v>-2.4121999999999999</v>
      </c>
      <c r="C52" s="13">
        <v>-2.3664000000000001</v>
      </c>
      <c r="D52" s="13"/>
      <c r="E52" s="13">
        <v>2.4125999999999999</v>
      </c>
      <c r="F52" s="13">
        <v>2.4554</v>
      </c>
      <c r="H52">
        <f>(ABS(B52)+F52)/2</f>
        <v>2.4337999999999997</v>
      </c>
      <c r="I52">
        <f>(ABS(C52)+E52)/2</f>
        <v>2.3895</v>
      </c>
      <c r="J52">
        <f>RADIANS(H52)</f>
        <v>4.2477823335037988E-2</v>
      </c>
      <c r="K52">
        <f>RADIANS(I52)</f>
        <v>4.1704642476404506E-2</v>
      </c>
      <c r="L52" s="6">
        <f t="shared" si="40"/>
        <v>2.914966685747241E-2</v>
      </c>
      <c r="M52" s="6">
        <f t="shared" si="41"/>
        <v>2.8619249286056164E-2</v>
      </c>
      <c r="N52" s="4">
        <v>6.1320565E-2</v>
      </c>
      <c r="O52" s="8">
        <f>COS(M52)/COS(N52)-1</f>
        <v>1.4727821425142285E-3</v>
      </c>
      <c r="P52" s="8">
        <f>COS(L52)/COS(N52)-1</f>
        <v>1.457434602935459E-3</v>
      </c>
      <c r="Q52" s="8">
        <f t="shared" si="42"/>
        <v>-3.6741624654195715E-24</v>
      </c>
      <c r="R52" s="8">
        <f t="shared" si="43"/>
        <v>-3.6358748244786024E-24</v>
      </c>
    </row>
    <row r="53" spans="1:22" x14ac:dyDescent="0.2">
      <c r="B53" s="2">
        <v>-2.5722</v>
      </c>
      <c r="C53" s="2">
        <v>-2.5293999999999999</v>
      </c>
      <c r="D53" s="2"/>
      <c r="E53" s="2">
        <v>2.5747</v>
      </c>
      <c r="F53" s="2">
        <v>2.6153</v>
      </c>
      <c r="H53">
        <f>(ABS(B53)+F53)/2</f>
        <v>2.59375</v>
      </c>
      <c r="I53">
        <f t="shared" ref="I53" si="50">(ABS(C53)+E53)/2</f>
        <v>2.5520499999999999</v>
      </c>
      <c r="J53">
        <f t="shared" ref="J53" si="51">RADIANS(H53)</f>
        <v>4.5269477473602923E-2</v>
      </c>
      <c r="K53">
        <f t="shared" ref="K53" si="52">RADIANS(I53)</f>
        <v>4.4541675175521288E-2</v>
      </c>
      <c r="L53" s="6">
        <f t="shared" si="40"/>
        <v>3.1064719543861721E-2</v>
      </c>
      <c r="M53" s="6">
        <f t="shared" si="41"/>
        <v>3.0565464952122545E-2</v>
      </c>
      <c r="N53" s="4">
        <v>6.5403790000000003E-2</v>
      </c>
      <c r="O53" s="8">
        <f t="shared" ref="O53" si="53">COS(M53)/COS(N53)-1</f>
        <v>1.6745584091992782E-3</v>
      </c>
      <c r="P53" s="8">
        <f t="shared" ref="P53" si="54">COS(L53)/COS(N53)-1</f>
        <v>1.6591433092381092E-3</v>
      </c>
      <c r="Q53" s="8">
        <f t="shared" si="42"/>
        <v>-4.177535479028431E-24</v>
      </c>
      <c r="R53" s="8">
        <f t="shared" si="43"/>
        <v>-4.13907929461182E-24</v>
      </c>
    </row>
    <row r="54" spans="1:22" x14ac:dyDescent="0.2">
      <c r="B54" s="2">
        <v>-2.7191000000000001</v>
      </c>
      <c r="C54" s="2">
        <v>-2.6817000000000002</v>
      </c>
      <c r="D54" s="2"/>
      <c r="E54" s="2">
        <v>2.7263999999999999</v>
      </c>
      <c r="F54" s="2">
        <v>2.7642000000000002</v>
      </c>
      <c r="H54">
        <f>(ABS(B54)+F54)/2</f>
        <v>2.7416499999999999</v>
      </c>
      <c r="I54">
        <f t="shared" ref="I54" si="55">(ABS(C54)+E54)/2</f>
        <v>2.7040500000000001</v>
      </c>
      <c r="J54">
        <f t="shared" ref="J54" si="56">RADIANS(H54)</f>
        <v>4.7850819437302537E-2</v>
      </c>
      <c r="K54">
        <f t="shared" ref="K54" si="57">RADIANS(I54)</f>
        <v>4.7194575638552672E-2</v>
      </c>
      <c r="L54" s="6">
        <f t="shared" si="40"/>
        <v>3.28353858230696E-2</v>
      </c>
      <c r="M54" s="6">
        <f t="shared" si="41"/>
        <v>3.2385247459732737E-2</v>
      </c>
      <c r="N54" s="4">
        <v>6.9252070999999998E-2</v>
      </c>
      <c r="O54" s="8">
        <f t="shared" ref="O54" si="58">COS(M54)/COS(N54)-1</f>
        <v>1.8771095551317618E-3</v>
      </c>
      <c r="P54" s="8">
        <f t="shared" ref="P54" si="59">COS(L54)/COS(N54)-1</f>
        <v>1.8623977385407997E-3</v>
      </c>
      <c r="Q54" s="8">
        <f t="shared" si="42"/>
        <v>-4.6828415906590339E-24</v>
      </c>
      <c r="R54" s="8">
        <f t="shared" si="43"/>
        <v>-4.6461398934043582E-24</v>
      </c>
    </row>
    <row r="56" spans="1:22" x14ac:dyDescent="0.2">
      <c r="A56" t="s">
        <v>19</v>
      </c>
      <c r="B56" s="2">
        <v>0.28499999999999998</v>
      </c>
    </row>
    <row r="57" spans="1:22" x14ac:dyDescent="0.2">
      <c r="A57" t="s">
        <v>18</v>
      </c>
      <c r="B57">
        <f>($B$5/(4*PI()))*($B$3/$B$4)*B56</f>
        <v>2.6430928902938791E-21</v>
      </c>
    </row>
    <row r="58" spans="1:22" x14ac:dyDescent="0.2">
      <c r="A58" t="s">
        <v>23</v>
      </c>
      <c r="B58">
        <f>$B$2*B56</f>
        <v>2.64309284829E-24</v>
      </c>
    </row>
    <row r="59" spans="1:22" x14ac:dyDescent="0.2">
      <c r="A59" s="4" t="s">
        <v>39</v>
      </c>
      <c r="B59" s="4" t="s">
        <v>7</v>
      </c>
      <c r="C59" s="4" t="s">
        <v>8</v>
      </c>
      <c r="D59" s="4"/>
      <c r="E59" s="4" t="s">
        <v>9</v>
      </c>
      <c r="F59" s="4" t="s">
        <v>10</v>
      </c>
      <c r="H59" t="s">
        <v>57</v>
      </c>
      <c r="I59" t="s">
        <v>58</v>
      </c>
      <c r="J59" t="s">
        <v>40</v>
      </c>
      <c r="K59" t="s">
        <v>41</v>
      </c>
      <c r="L59" t="s">
        <v>42</v>
      </c>
      <c r="M59" t="s">
        <v>43</v>
      </c>
      <c r="N59" t="s">
        <v>16</v>
      </c>
      <c r="O59" t="s">
        <v>44</v>
      </c>
      <c r="P59" t="s">
        <v>45</v>
      </c>
      <c r="Q59" t="s">
        <v>46</v>
      </c>
      <c r="R59" t="s">
        <v>47</v>
      </c>
      <c r="S59" t="s">
        <v>48</v>
      </c>
      <c r="T59" t="s">
        <v>49</v>
      </c>
      <c r="U59" s="9" t="s">
        <v>50</v>
      </c>
      <c r="V59" s="9" t="s">
        <v>51</v>
      </c>
    </row>
    <row r="60" spans="1:22" x14ac:dyDescent="0.2">
      <c r="A60" s="4"/>
      <c r="B60" s="13">
        <v>-0.52559999999999996</v>
      </c>
      <c r="C60" s="13">
        <v>0.2054</v>
      </c>
      <c r="D60" s="13"/>
      <c r="E60" s="13">
        <v>0.24879999999999999</v>
      </c>
      <c r="F60" s="13">
        <v>0.57110000000000005</v>
      </c>
      <c r="H60">
        <f>(ABS(B60)+F60)/2</f>
        <v>0.54835</v>
      </c>
      <c r="I60">
        <f>(ABS(C60)+E60)/2</f>
        <v>0.2271</v>
      </c>
      <c r="J60">
        <f>RADIANS(H60)</f>
        <v>9.5705129533109057E-3</v>
      </c>
      <c r="K60">
        <f>RADIANS(I60)</f>
        <v>3.9636427312791222E-3</v>
      </c>
      <c r="L60" s="6">
        <f t="shared" ref="L60:L69" si="60">ASIN(($D$7/$D$6)*SIN(J60))</f>
        <v>6.5685900302171951E-3</v>
      </c>
      <c r="M60" s="6">
        <f>ASIN(($D$6/$D$7)*SIN(K60))</f>
        <v>5.7750444387564166E-3</v>
      </c>
      <c r="N60">
        <v>1.0758037E-2</v>
      </c>
      <c r="O60" s="8">
        <f>COS(M60)/COS(N60)-1</f>
        <v>4.1193982925680217E-5</v>
      </c>
      <c r="P60" s="8">
        <f>COS(L60)/COS(N60)-1</f>
        <v>3.62961123634431E-5</v>
      </c>
      <c r="Q60" s="8">
        <f t="shared" ref="Q60:Q69" si="61">-O60*B$57</f>
        <v>-1.0887952339375284E-25</v>
      </c>
      <c r="R60" s="8">
        <f t="shared" ref="R60:R69" si="62">-P60*B$57</f>
        <v>-9.5933996533124228E-26</v>
      </c>
      <c r="S60" s="8">
        <f>AVERAGE(Q60:Q69)</f>
        <v>-2.5519039202572593E-24</v>
      </c>
      <c r="T60" s="8">
        <f>AVERAGE(R60:R69)</f>
        <v>-2.5097405729621077E-24</v>
      </c>
      <c r="U60" s="9">
        <f>ABS(ABS(S60)-B58)/B58</f>
        <v>3.450084172855946E-2</v>
      </c>
      <c r="V60" s="9">
        <f>ABS(ABS(T60)-B58)/B58</f>
        <v>5.0453117987953842E-2</v>
      </c>
    </row>
    <row r="61" spans="1:22" x14ac:dyDescent="0.2">
      <c r="A61" s="4"/>
      <c r="B61" s="13">
        <v>-1.0289999999999999</v>
      </c>
      <c r="C61" s="13">
        <v>-0.90639999999999998</v>
      </c>
      <c r="D61" s="13"/>
      <c r="E61" s="13">
        <v>0.95140000000000002</v>
      </c>
      <c r="F61" s="13">
        <v>1.0755999999999999</v>
      </c>
      <c r="H61">
        <f>(ABS(B61)+F61)/2</f>
        <v>1.0522999999999998</v>
      </c>
      <c r="I61">
        <f t="shared" ref="I61:I66" si="63">(ABS(C61)+E61)/2</f>
        <v>0.92890000000000006</v>
      </c>
      <c r="J61">
        <f t="shared" ref="J61:J66" si="64">RADIANS(H61)</f>
        <v>1.8366099718736328E-2</v>
      </c>
      <c r="K61">
        <f t="shared" ref="K61:K66" si="65">RADIANS(I61)</f>
        <v>1.6212363421775327E-2</v>
      </c>
      <c r="L61" s="6">
        <f t="shared" si="60"/>
        <v>1.2605047049844911E-2</v>
      </c>
      <c r="M61" s="6">
        <f t="shared" ref="M61:M69" si="66">ASIN(($D$7/$D$6)*SIN(K61))</f>
        <v>1.1126964825032294E-2</v>
      </c>
      <c r="N61">
        <v>2.5301185E-2</v>
      </c>
      <c r="O61" s="8">
        <f t="shared" ref="O61:O66" si="67">COS(M61)/COS(N61)-1</f>
        <v>2.5823652312850776E-4</v>
      </c>
      <c r="P61" s="8">
        <f t="shared" ref="P61:P66" si="68">COS(L61)/COS(N61)-1</f>
        <v>2.4069238871415877E-4</v>
      </c>
      <c r="Q61" s="8">
        <f t="shared" si="61"/>
        <v>-6.8254311829516978E-25</v>
      </c>
      <c r="R61" s="8">
        <f t="shared" si="62"/>
        <v>-6.3617234135824372E-25</v>
      </c>
      <c r="S61" s="8"/>
      <c r="T61" s="8"/>
    </row>
    <row r="62" spans="1:22" x14ac:dyDescent="0.2">
      <c r="A62" s="4"/>
      <c r="B62" s="13">
        <v>-1.3636999999999999</v>
      </c>
      <c r="C62" s="13">
        <v>-1.2699</v>
      </c>
      <c r="D62" s="13"/>
      <c r="E62" s="13">
        <v>1.3166</v>
      </c>
      <c r="F62" s="13">
        <v>1.4083000000000001</v>
      </c>
      <c r="H62">
        <f t="shared" ref="H62:H66" si="69">(ABS(B62)+F62)/2</f>
        <v>1.3860000000000001</v>
      </c>
      <c r="I62">
        <f t="shared" si="63"/>
        <v>1.29325</v>
      </c>
      <c r="J62">
        <f t="shared" si="64"/>
        <v>2.4190263432641409E-2</v>
      </c>
      <c r="K62">
        <f t="shared" si="65"/>
        <v>2.2571470551416666E-2</v>
      </c>
      <c r="L62" s="6">
        <f t="shared" si="60"/>
        <v>1.6601932350334265E-2</v>
      </c>
      <c r="M62" s="6">
        <f t="shared" si="66"/>
        <v>1.5491047850691268E-2</v>
      </c>
      <c r="N62">
        <v>3.407259E-2</v>
      </c>
      <c r="O62" s="8">
        <f t="shared" si="67"/>
        <v>4.6069805264625785E-4</v>
      </c>
      <c r="P62" s="8">
        <f t="shared" si="68"/>
        <v>4.4286266950477327E-4</v>
      </c>
      <c r="Q62" s="8">
        <f t="shared" si="61"/>
        <v>-1.2176677475215594E-24</v>
      </c>
      <c r="R62" s="8">
        <f t="shared" si="62"/>
        <v>-1.1705271731446341E-24</v>
      </c>
      <c r="S62" s="8"/>
      <c r="T62" s="8"/>
    </row>
    <row r="63" spans="1:22" x14ac:dyDescent="0.2">
      <c r="A63" s="4"/>
      <c r="B63" s="13">
        <v>-1.6265000000000001</v>
      </c>
      <c r="C63" s="13">
        <v>-1.5508999999999999</v>
      </c>
      <c r="D63" s="13"/>
      <c r="E63" s="13">
        <v>1.597</v>
      </c>
      <c r="F63" s="13">
        <v>1.6742999999999999</v>
      </c>
      <c r="H63">
        <f t="shared" si="69"/>
        <v>1.6503999999999999</v>
      </c>
      <c r="I63">
        <f t="shared" si="63"/>
        <v>1.57395</v>
      </c>
      <c r="J63">
        <f t="shared" si="64"/>
        <v>2.8804913974914411E-2</v>
      </c>
      <c r="K63">
        <f t="shared" si="65"/>
        <v>2.7470609761764749E-2</v>
      </c>
      <c r="L63" s="6">
        <f t="shared" si="60"/>
        <v>1.9768570184359121E-2</v>
      </c>
      <c r="M63" s="6">
        <f t="shared" si="66"/>
        <v>1.8852973263292289E-2</v>
      </c>
      <c r="N63">
        <v>4.0999618000000002E-2</v>
      </c>
      <c r="O63" s="8">
        <f t="shared" si="67"/>
        <v>6.6321191357365805E-4</v>
      </c>
      <c r="P63" s="8">
        <f t="shared" si="68"/>
        <v>6.4551725992534337E-4</v>
      </c>
      <c r="Q63" s="8">
        <f t="shared" si="61"/>
        <v>-1.7529306935247343E-24</v>
      </c>
      <c r="R63" s="8">
        <f t="shared" si="62"/>
        <v>-1.7061620802706611E-24</v>
      </c>
      <c r="S63" s="8"/>
      <c r="T63" s="8"/>
    </row>
    <row r="64" spans="1:22" x14ac:dyDescent="0.2">
      <c r="A64" s="4"/>
      <c r="B64" s="13">
        <v>-1.8559000000000001</v>
      </c>
      <c r="C64" s="13">
        <v>-1.7889999999999999</v>
      </c>
      <c r="D64" s="13"/>
      <c r="E64" s="13">
        <v>1.8346</v>
      </c>
      <c r="F64" s="13">
        <v>1.901</v>
      </c>
      <c r="H64">
        <f t="shared" si="69"/>
        <v>1.87845</v>
      </c>
      <c r="I64">
        <f t="shared" si="63"/>
        <v>1.8117999999999999</v>
      </c>
      <c r="J64">
        <f t="shared" si="64"/>
        <v>3.2785137334087486E-2</v>
      </c>
      <c r="K64">
        <f t="shared" si="65"/>
        <v>3.162187538763326E-2</v>
      </c>
      <c r="L64" s="6">
        <f t="shared" si="60"/>
        <v>2.2499677568209045E-2</v>
      </c>
      <c r="M64" s="6">
        <f t="shared" si="66"/>
        <v>2.1701501333262221E-2</v>
      </c>
      <c r="N64">
        <v>4.6917538000000002E-2</v>
      </c>
      <c r="O64" s="8">
        <f t="shared" si="67"/>
        <v>8.6591033540872608E-4</v>
      </c>
      <c r="P64" s="8">
        <f t="shared" si="68"/>
        <v>8.4825217508410766E-4</v>
      </c>
      <c r="Q64" s="8">
        <f t="shared" si="61"/>
        <v>-2.2886814511507921E-24</v>
      </c>
      <c r="R64" s="8">
        <f t="shared" si="62"/>
        <v>-2.2420092931411237E-24</v>
      </c>
      <c r="S64" s="8"/>
      <c r="T64" s="8"/>
    </row>
    <row r="65" spans="1:20" x14ac:dyDescent="0.2">
      <c r="A65" s="4"/>
      <c r="B65" s="13">
        <v>-2.0697999999999999</v>
      </c>
      <c r="C65" s="13">
        <v>-2.0001000000000002</v>
      </c>
      <c r="D65" s="13"/>
      <c r="E65" s="13">
        <v>2.0474000000000001</v>
      </c>
      <c r="F65" s="13">
        <v>2.1034999999999999</v>
      </c>
      <c r="H65">
        <f t="shared" si="69"/>
        <v>2.0866499999999997</v>
      </c>
      <c r="I65">
        <f t="shared" si="63"/>
        <v>2.0237500000000002</v>
      </c>
      <c r="J65">
        <f t="shared" si="64"/>
        <v>3.6418912836739668E-2</v>
      </c>
      <c r="K65">
        <f t="shared" si="65"/>
        <v>3.5321100737235246E-2</v>
      </c>
      <c r="L65" s="6">
        <f t="shared" si="60"/>
        <v>2.4992898877269694E-2</v>
      </c>
      <c r="M65" s="6">
        <f t="shared" si="66"/>
        <v>2.423968104742414E-2</v>
      </c>
      <c r="N65">
        <v>5.2177225000000001E-2</v>
      </c>
      <c r="O65" s="8">
        <f t="shared" si="67"/>
        <v>1.0686102186538982E-3</v>
      </c>
      <c r="P65" s="8">
        <f t="shared" si="68"/>
        <v>1.0500453978128377E-3</v>
      </c>
      <c r="Q65" s="8">
        <f t="shared" si="61"/>
        <v>-2.8244360714195059E-24</v>
      </c>
      <c r="R65" s="8">
        <f t="shared" si="62"/>
        <v>-2.7753675254449192E-24</v>
      </c>
      <c r="S65" s="8"/>
      <c r="T65" s="8"/>
    </row>
    <row r="66" spans="1:20" x14ac:dyDescent="0.2">
      <c r="A66" s="4"/>
      <c r="B66" s="13">
        <v>-2.2418</v>
      </c>
      <c r="C66" s="13">
        <v>-2.1917</v>
      </c>
      <c r="D66" s="13"/>
      <c r="E66" s="13">
        <v>2.2366999999999999</v>
      </c>
      <c r="F66" s="13">
        <v>2.29</v>
      </c>
      <c r="H66">
        <f t="shared" si="69"/>
        <v>2.2659000000000002</v>
      </c>
      <c r="I66">
        <f t="shared" si="63"/>
        <v>2.2141999999999999</v>
      </c>
      <c r="J66">
        <f t="shared" si="64"/>
        <v>3.9547415520939516E-2</v>
      </c>
      <c r="K66">
        <f t="shared" si="65"/>
        <v>3.8645080297658445E-2</v>
      </c>
      <c r="L66" s="6">
        <f t="shared" si="60"/>
        <v>2.7139300973448702E-2</v>
      </c>
      <c r="M66" s="6">
        <f t="shared" si="66"/>
        <v>2.6520241060003408E-2</v>
      </c>
      <c r="N66">
        <v>5.6931192999999998E-2</v>
      </c>
      <c r="O66" s="8">
        <f t="shared" si="67"/>
        <v>1.2705602084388534E-3</v>
      </c>
      <c r="P66" s="8">
        <f t="shared" si="68"/>
        <v>1.2539260157991006E-3</v>
      </c>
      <c r="Q66" s="8">
        <f t="shared" si="61"/>
        <v>-3.3582086536150428E-24</v>
      </c>
      <c r="R66" s="8">
        <f t="shared" si="62"/>
        <v>-3.3142429373131334E-24</v>
      </c>
      <c r="S66" s="8"/>
      <c r="T66" s="8"/>
    </row>
    <row r="67" spans="1:20" x14ac:dyDescent="0.2">
      <c r="A67" s="4"/>
      <c r="B67" s="13">
        <v>-2.4127000000000001</v>
      </c>
      <c r="C67" s="13">
        <v>-2.3660000000000001</v>
      </c>
      <c r="D67" s="13"/>
      <c r="E67" s="13">
        <v>2.4097</v>
      </c>
      <c r="F67" s="13">
        <v>2.4582999999999999</v>
      </c>
      <c r="H67">
        <f>(ABS(B67)+F67)/2</f>
        <v>2.4355000000000002</v>
      </c>
      <c r="I67">
        <f>(ABS(C67)+E67)/2</f>
        <v>2.3878500000000003</v>
      </c>
      <c r="J67">
        <f>RADIANS(H67)</f>
        <v>4.2507493932321901E-2</v>
      </c>
      <c r="K67">
        <f>RADIANS(I67)</f>
        <v>4.16758445437466E-2</v>
      </c>
      <c r="L67" s="6">
        <f t="shared" si="60"/>
        <v>2.9170021299335658E-2</v>
      </c>
      <c r="M67" s="6">
        <f t="shared" si="66"/>
        <v>2.8599493150810392E-2</v>
      </c>
      <c r="N67">
        <v>6.1320565E-2</v>
      </c>
      <c r="O67" s="8">
        <f>COS(M67)/COS(N67)-1</f>
        <v>1.4733483401987435E-3</v>
      </c>
      <c r="P67" s="8">
        <f>COS(L67)/COS(N67)-1</f>
        <v>1.4568400371977042E-3</v>
      </c>
      <c r="Q67" s="8">
        <f t="shared" si="61"/>
        <v>-3.8941965229055864E-24</v>
      </c>
      <c r="R67" s="8">
        <f t="shared" si="62"/>
        <v>-3.8505635446127222E-24</v>
      </c>
    </row>
    <row r="68" spans="1:20" x14ac:dyDescent="0.2">
      <c r="B68" s="2">
        <v>-2.5706000000000002</v>
      </c>
      <c r="C68" s="2">
        <v>-2.5291000000000001</v>
      </c>
      <c r="D68" s="2"/>
      <c r="E68" s="2">
        <v>2.5697000000000001</v>
      </c>
      <c r="F68" s="2">
        <v>2.6158000000000001</v>
      </c>
      <c r="H68">
        <f>(ABS(B68)+F68)/2</f>
        <v>2.5932000000000004</v>
      </c>
      <c r="I68">
        <f t="shared" ref="I68" si="70">(ABS(C68)+E68)/2</f>
        <v>2.5494000000000003</v>
      </c>
      <c r="J68">
        <f t="shared" ref="J68" si="71">RADIANS(H68)</f>
        <v>4.5259878162716961E-2</v>
      </c>
      <c r="K68">
        <f t="shared" ref="K68" si="72">RADIANS(I68)</f>
        <v>4.4495423950343442E-2</v>
      </c>
      <c r="L68" s="6">
        <f t="shared" si="60"/>
        <v>3.1058134707569737E-2</v>
      </c>
      <c r="M68" s="6">
        <f t="shared" si="66"/>
        <v>3.0533737450614943E-2</v>
      </c>
      <c r="N68">
        <v>6.5403790000000003E-2</v>
      </c>
      <c r="O68" s="8">
        <f t="shared" ref="O68" si="73">COS(M68)/COS(N68)-1</f>
        <v>1.675529597423342E-3</v>
      </c>
      <c r="P68" s="8">
        <f t="shared" ref="P68" si="74">COS(L68)/COS(N68)-1</f>
        <v>1.6593482489373201E-3</v>
      </c>
      <c r="Q68" s="8">
        <f t="shared" si="61"/>
        <v>-4.428580366426601E-24</v>
      </c>
      <c r="R68" s="8">
        <f t="shared" si="62"/>
        <v>-4.3858115592878289E-24</v>
      </c>
    </row>
    <row r="69" spans="1:20" x14ac:dyDescent="0.2">
      <c r="B69" s="2">
        <v>-2.7227999999999999</v>
      </c>
      <c r="C69" s="2">
        <v>-2.6789999999999998</v>
      </c>
      <c r="D69" s="2"/>
      <c r="E69" s="13">
        <v>2.7261000000000002</v>
      </c>
      <c r="F69" s="2">
        <v>2.7641</v>
      </c>
      <c r="H69">
        <f>(ABS(B69)+F69)/2</f>
        <v>2.7434500000000002</v>
      </c>
      <c r="I69">
        <f t="shared" ref="I69" si="75">(ABS(C69)+E69)/2</f>
        <v>2.70255</v>
      </c>
      <c r="J69">
        <f t="shared" ref="J69" si="76">RADIANS(H69)</f>
        <v>4.7882235363838434E-2</v>
      </c>
      <c r="K69">
        <f t="shared" ref="K69" si="77">RADIANS(I69)</f>
        <v>4.7168395699772755E-2</v>
      </c>
      <c r="L69" s="6">
        <f t="shared" si="60"/>
        <v>3.2856934812985489E-2</v>
      </c>
      <c r="M69" s="6">
        <f t="shared" si="66"/>
        <v>3.2367289658343575E-2</v>
      </c>
      <c r="N69">
        <v>6.9252070999999998E-2</v>
      </c>
      <c r="O69" s="8">
        <f t="shared" ref="O69" si="78">COS(M69)/COS(N69)-1</f>
        <v>1.8776922568801702E-3</v>
      </c>
      <c r="P69" s="8">
        <f t="shared" ref="P69" si="79">COS(L69)/COS(N69)-1</f>
        <v>1.8616883638802317E-3</v>
      </c>
      <c r="Q69" s="8">
        <f t="shared" si="61"/>
        <v>-4.9629150543198458E-24</v>
      </c>
      <c r="R69" s="8">
        <f t="shared" si="62"/>
        <v>-4.9206152785146847E-24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8"/>
  <sheetViews>
    <sheetView tabSelected="1" topLeftCell="A25" workbookViewId="0">
      <selection activeCell="Q45" sqref="Q45"/>
    </sheetView>
  </sheetViews>
  <sheetFormatPr baseColWidth="10" defaultRowHeight="15" x14ac:dyDescent="0.2"/>
  <cols>
    <col min="1" max="1" width="14.33203125" bestFit="1" customWidth="1"/>
    <col min="2" max="2" width="16.1640625" bestFit="1" customWidth="1"/>
    <col min="3" max="3" width="11.83203125" bestFit="1" customWidth="1"/>
    <col min="4" max="4" width="12.33203125" bestFit="1" customWidth="1"/>
    <col min="6" max="6" width="13.6640625" bestFit="1" customWidth="1"/>
  </cols>
  <sheetData>
    <row r="2" spans="2:5" x14ac:dyDescent="0.2">
      <c r="B2" s="20" t="s">
        <v>52</v>
      </c>
      <c r="C2" s="20"/>
      <c r="D2" s="20"/>
      <c r="E2" s="20"/>
    </row>
    <row r="4" spans="2:5" x14ac:dyDescent="0.2">
      <c r="B4" t="s">
        <v>31</v>
      </c>
      <c r="C4" t="s">
        <v>28</v>
      </c>
      <c r="D4" t="s">
        <v>29</v>
      </c>
      <c r="E4" t="s">
        <v>30</v>
      </c>
    </row>
    <row r="5" spans="2:5" x14ac:dyDescent="0.2">
      <c r="B5">
        <v>1</v>
      </c>
      <c r="C5" s="2">
        <v>4.4400000000000002E-2</v>
      </c>
      <c r="D5">
        <v>4.0274395464753534E-25</v>
      </c>
      <c r="E5">
        <v>3.9553582377271944E-25</v>
      </c>
    </row>
    <row r="6" spans="2:5" x14ac:dyDescent="0.2">
      <c r="B6">
        <v>2</v>
      </c>
      <c r="C6" s="2">
        <v>8.2199999999999995E-2</v>
      </c>
      <c r="D6">
        <v>7.4749649245963639E-25</v>
      </c>
      <c r="E6">
        <v>7.2933371289353716E-25</v>
      </c>
    </row>
    <row r="7" spans="2:5" x14ac:dyDescent="0.2">
      <c r="B7">
        <v>3</v>
      </c>
      <c r="C7" s="2">
        <v>0.1221</v>
      </c>
      <c r="D7">
        <v>1.1179210899513464E-24</v>
      </c>
      <c r="E7" s="11">
        <v>1.07679E-24</v>
      </c>
    </row>
    <row r="8" spans="2:5" x14ac:dyDescent="0.2">
      <c r="B8">
        <v>4</v>
      </c>
      <c r="C8" s="2">
        <v>0.16520000000000001</v>
      </c>
      <c r="D8">
        <v>1.5260515625515687E-24</v>
      </c>
      <c r="E8">
        <v>1.4468227318571007E-24</v>
      </c>
    </row>
    <row r="9" spans="2:5" x14ac:dyDescent="0.2">
      <c r="B9">
        <v>5</v>
      </c>
      <c r="C9" s="2">
        <v>0.19750000000000001</v>
      </c>
      <c r="D9">
        <v>1.8205069806326593E-24</v>
      </c>
      <c r="E9" s="11">
        <v>1.7250796632746484E-24</v>
      </c>
    </row>
    <row r="10" spans="2:5" x14ac:dyDescent="0.2">
      <c r="B10">
        <v>6</v>
      </c>
      <c r="C10" s="2">
        <v>0.22800000000000001</v>
      </c>
      <c r="D10">
        <v>2.1254052702559737E-24</v>
      </c>
      <c r="E10">
        <v>1.9770166671597484E-24</v>
      </c>
    </row>
    <row r="11" spans="2:5" x14ac:dyDescent="0.2">
      <c r="B11">
        <v>7</v>
      </c>
      <c r="C11" s="2">
        <v>0.253</v>
      </c>
      <c r="D11">
        <v>2.3552939690238571E-24</v>
      </c>
      <c r="E11">
        <v>2.1868051211729226E-24</v>
      </c>
    </row>
    <row r="12" spans="2:5" x14ac:dyDescent="0.2">
      <c r="B12">
        <v>8</v>
      </c>
      <c r="C12" s="2">
        <v>0.26900000000000002</v>
      </c>
      <c r="D12">
        <v>2.5091630850786273E-24</v>
      </c>
      <c r="E12">
        <v>2.2511375941462988E-24</v>
      </c>
    </row>
    <row r="13" spans="2:5" x14ac:dyDescent="0.2">
      <c r="B13">
        <v>9</v>
      </c>
      <c r="C13" s="2">
        <v>0.28499999999999998</v>
      </c>
      <c r="D13">
        <v>2.6629227074702228E-24</v>
      </c>
      <c r="E13">
        <v>2.4527152691046398E-24</v>
      </c>
    </row>
    <row r="16" spans="2:5" x14ac:dyDescent="0.2">
      <c r="D16" t="s">
        <v>26</v>
      </c>
    </row>
    <row r="17" spans="2:6" x14ac:dyDescent="0.2">
      <c r="B17" t="s">
        <v>33</v>
      </c>
      <c r="C17">
        <f>9.274009994*10^(-24)</f>
        <v>9.2740099940000005E-24</v>
      </c>
    </row>
    <row r="18" spans="2:6" x14ac:dyDescent="0.2">
      <c r="B18" t="s">
        <v>34</v>
      </c>
      <c r="C18">
        <f>8.62*10^(-24)</f>
        <v>8.6199999999999998E-24</v>
      </c>
      <c r="D18" s="12">
        <f>ABS($C$17-C18)/$C$17</f>
        <v>7.0520734226416082E-2</v>
      </c>
    </row>
    <row r="19" spans="2:6" x14ac:dyDescent="0.2">
      <c r="B19" t="s">
        <v>32</v>
      </c>
      <c r="C19">
        <f>9.3*10^(-24)</f>
        <v>9.3000000000000023E-24</v>
      </c>
      <c r="D19" s="12">
        <f>ABS($C$17-C19)/$C$17</f>
        <v>2.8024561130316357E-3</v>
      </c>
    </row>
    <row r="20" spans="2:6" x14ac:dyDescent="0.2">
      <c r="B20" t="s">
        <v>35</v>
      </c>
      <c r="C20">
        <f>AVERAGE(C18:C19)</f>
        <v>8.9600000000000011E-24</v>
      </c>
      <c r="D20" s="12">
        <f>ABS($C$17-C20)/$C$17</f>
        <v>3.3859139056692224E-2</v>
      </c>
    </row>
    <row r="25" spans="2:6" x14ac:dyDescent="0.2">
      <c r="B25" s="20" t="s">
        <v>53</v>
      </c>
      <c r="C25" s="20"/>
      <c r="D25" s="20"/>
      <c r="E25" s="20"/>
    </row>
    <row r="28" spans="2:6" x14ac:dyDescent="0.2">
      <c r="B28" s="16" t="s">
        <v>31</v>
      </c>
      <c r="C28" s="16" t="s">
        <v>28</v>
      </c>
      <c r="D28" s="16" t="s">
        <v>29</v>
      </c>
      <c r="E28" s="16" t="s">
        <v>30</v>
      </c>
      <c r="F28" s="16" t="s">
        <v>59</v>
      </c>
    </row>
    <row r="29" spans="2:6" x14ac:dyDescent="0.2">
      <c r="B29" s="16">
        <v>2</v>
      </c>
      <c r="C29" s="17">
        <v>8.2199999999999995E-2</v>
      </c>
      <c r="D29" s="16"/>
      <c r="E29" s="16"/>
      <c r="F29" s="18">
        <v>8.0255905815012197E-25</v>
      </c>
    </row>
    <row r="30" spans="2:6" x14ac:dyDescent="0.2">
      <c r="B30" s="16">
        <v>3</v>
      </c>
      <c r="C30" s="17">
        <v>0.1221</v>
      </c>
      <c r="D30" s="16"/>
      <c r="E30" s="16"/>
      <c r="F30" s="18">
        <v>1.1974251285884199E-24</v>
      </c>
    </row>
    <row r="31" spans="2:6" x14ac:dyDescent="0.2">
      <c r="B31" s="16">
        <v>4</v>
      </c>
      <c r="C31" s="17">
        <v>0.16520000000000001</v>
      </c>
      <c r="D31" s="16"/>
      <c r="E31" s="16"/>
      <c r="F31" s="18">
        <v>1.6223505927147599E-24</v>
      </c>
    </row>
    <row r="32" spans="2:6" x14ac:dyDescent="0.2">
      <c r="B32" s="16">
        <v>5</v>
      </c>
      <c r="C32" s="17">
        <v>0.19750000000000001</v>
      </c>
      <c r="D32" s="16"/>
      <c r="E32" s="16"/>
      <c r="F32" s="18">
        <v>1.9398899137942098E-24</v>
      </c>
    </row>
    <row r="33" spans="2:7" x14ac:dyDescent="0.2">
      <c r="B33" s="16">
        <v>6</v>
      </c>
      <c r="C33" s="17">
        <v>0.22800000000000001</v>
      </c>
      <c r="D33" s="19">
        <v>2.0405987142399499E-24</v>
      </c>
      <c r="E33" s="19">
        <v>1.7971846817478499E-24</v>
      </c>
      <c r="F33" s="15">
        <f>AVERAGE(D33,E33)</f>
        <v>1.9188916979938999E-24</v>
      </c>
      <c r="G33" s="15">
        <f>AVERAGE(D33,E33)</f>
        <v>1.9188916979938999E-24</v>
      </c>
    </row>
    <row r="34" spans="2:7" x14ac:dyDescent="0.2">
      <c r="B34" s="16">
        <v>7</v>
      </c>
      <c r="C34" s="17">
        <v>0.253</v>
      </c>
      <c r="D34" s="19">
        <v>2.2659973954360699E-24</v>
      </c>
      <c r="E34" s="19">
        <v>2.2262618624487E-24</v>
      </c>
      <c r="F34" s="15">
        <f t="shared" ref="F34:F36" si="0">AVERAGE(D34,E34)</f>
        <v>2.246129628942385E-24</v>
      </c>
      <c r="G34" s="15">
        <f t="shared" ref="G34:G36" si="1">AVERAGE(D34,E34)</f>
        <v>2.246129628942385E-24</v>
      </c>
    </row>
    <row r="35" spans="2:7" x14ac:dyDescent="0.2">
      <c r="B35" s="16">
        <v>8</v>
      </c>
      <c r="C35" s="17">
        <v>0.26900000000000002</v>
      </c>
      <c r="D35" s="19">
        <v>2.6635092960089301E-24</v>
      </c>
      <c r="E35" s="19">
        <v>2.3704690381285601E-24</v>
      </c>
      <c r="F35" s="15">
        <f t="shared" si="0"/>
        <v>2.5169891670687451E-24</v>
      </c>
      <c r="G35" s="15">
        <f t="shared" si="1"/>
        <v>2.5169891670687451E-24</v>
      </c>
    </row>
    <row r="36" spans="2:7" x14ac:dyDescent="0.2">
      <c r="B36" s="16">
        <v>9</v>
      </c>
      <c r="C36" s="17">
        <v>0.28499999999999998</v>
      </c>
      <c r="D36" s="19">
        <v>2.55190392025726E-24</v>
      </c>
      <c r="E36" s="19">
        <v>2.5097405729621099E-24</v>
      </c>
      <c r="F36" s="15">
        <f t="shared" si="0"/>
        <v>2.530822246609685E-24</v>
      </c>
      <c r="G36" s="15">
        <f t="shared" si="1"/>
        <v>2.530822246609685E-24</v>
      </c>
    </row>
    <row r="39" spans="2:7" x14ac:dyDescent="0.2">
      <c r="C39" t="s">
        <v>60</v>
      </c>
      <c r="D39" t="s">
        <v>26</v>
      </c>
    </row>
    <row r="40" spans="2:7" x14ac:dyDescent="0.2">
      <c r="B40" t="s">
        <v>33</v>
      </c>
      <c r="C40">
        <f>9.274009994*10^(-24)</f>
        <v>9.2740099940000005E-24</v>
      </c>
    </row>
    <row r="41" spans="2:7" x14ac:dyDescent="0.2">
      <c r="B41" t="s">
        <v>62</v>
      </c>
      <c r="C41">
        <f>8.773*10^(-24)</f>
        <v>8.7730000000000011E-24</v>
      </c>
      <c r="D41" s="12">
        <f>ABS($C$17-C41)/$C$17</f>
        <v>5.4023016400040279E-2</v>
      </c>
    </row>
    <row r="42" spans="2:7" x14ac:dyDescent="0.2">
      <c r="B42" t="s">
        <v>61</v>
      </c>
      <c r="C42">
        <f>9.139*10^(-24)</f>
        <v>9.1389999999999997E-24</v>
      </c>
      <c r="D42" s="12">
        <f>ABS($C$17-C42)/$C$17</f>
        <v>1.4557887482043711E-2</v>
      </c>
    </row>
    <row r="46" spans="2:7" x14ac:dyDescent="0.2">
      <c r="B46" t="s">
        <v>34</v>
      </c>
      <c r="C46">
        <f>9.208*10^(-24)</f>
        <v>9.2080000000000018E-24</v>
      </c>
      <c r="D46" s="12">
        <f>ABS($C$17-C46)/$C$17</f>
        <v>7.1177402270113065E-3</v>
      </c>
    </row>
    <row r="47" spans="2:7" x14ac:dyDescent="0.2">
      <c r="B47" t="s">
        <v>32</v>
      </c>
      <c r="C47">
        <f>8.628*10^(-24)</f>
        <v>8.6280000000000013E-24</v>
      </c>
      <c r="D47" s="12">
        <f>ABS($C$17-C47)/$C$17</f>
        <v>6.9658108457716555E-2</v>
      </c>
    </row>
    <row r="48" spans="2:7" x14ac:dyDescent="0.2">
      <c r="B48" t="s">
        <v>35</v>
      </c>
      <c r="C48">
        <f>AVERAGE(C42:C47)</f>
        <v>8.9916666666666671E-24</v>
      </c>
      <c r="D48" s="12">
        <f>ABS($C$17-C48)/$C$17</f>
        <v>3.0444578722257244E-2</v>
      </c>
    </row>
  </sheetData>
  <mergeCells count="2">
    <mergeCell ref="B2:E2"/>
    <mergeCell ref="B25:E25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Magnetic Field</vt:lpstr>
      <vt:lpstr>Longitudinal +45</vt:lpstr>
      <vt:lpstr>Longitudinal -45</vt:lpstr>
      <vt:lpstr>Transverse 90</vt:lpstr>
      <vt:lpstr>Transverse 0</vt:lpstr>
      <vt:lpstr>Bhor Magnaton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Microsoft Office User</cp:lastModifiedBy>
  <cp:revision/>
  <dcterms:created xsi:type="dcterms:W3CDTF">2021-03-16T18:16:18Z</dcterms:created>
  <dcterms:modified xsi:type="dcterms:W3CDTF">2021-05-05T16:47:50Z</dcterms:modified>
  <cp:category/>
  <cp:contentStatus/>
</cp:coreProperties>
</file>